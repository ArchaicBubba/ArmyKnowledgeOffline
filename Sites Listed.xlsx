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d.docs.live.net/c1322f6a52f9e2e9/AKO Offline/"/>
    </mc:Choice>
  </mc:AlternateContent>
  <xr:revisionPtr revIDLastSave="2763" documentId="13_ncr:1_{E625E1FB-790B-44BF-8A78-6C6832909D44}" xr6:coauthVersionLast="47" xr6:coauthVersionMax="47" xr10:uidLastSave="{0A4FE0E9-4851-433B-80A6-0F4432F33E92}"/>
  <bookViews>
    <workbookView xWindow="930" yWindow="0" windowWidth="18735" windowHeight="21600" activeTab="1" xr2:uid="{00000000-000D-0000-FFFF-FFFF00000000}"/>
  </bookViews>
  <sheets>
    <sheet name="Sheet1" sheetId="1" r:id="rId1"/>
    <sheet name="Transition Assitsance" sheetId="2" r:id="rId2"/>
  </sheet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gkaV6OzeA9xYQdl/ewOCeuwrNsKw=="/>
    </ext>
  </extLst>
</workbook>
</file>

<file path=xl/calcChain.xml><?xml version="1.0" encoding="utf-8"?>
<calcChain xmlns="http://schemas.openxmlformats.org/spreadsheetml/2006/main">
  <c r="P2" i="2" l="1" a="1"/>
  <c r="P2" i="2" s="1"/>
  <c r="X2" i="1"/>
  <c r="X3" i="1"/>
  <c r="X4" i="1"/>
  <c r="X5" i="1"/>
  <c r="X6" i="1"/>
  <c r="X7" i="1"/>
  <c r="X8"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O2" i="2"/>
  <c r="Q2" i="2"/>
  <c r="R2" i="2"/>
  <c r="S2" i="2"/>
  <c r="O3" i="2"/>
  <c r="Q3" i="2"/>
  <c r="R3" i="2"/>
  <c r="S3" i="2"/>
  <c r="O4" i="2"/>
  <c r="Q4" i="2"/>
  <c r="R4" i="2"/>
  <c r="S4" i="2"/>
  <c r="O5" i="2"/>
  <c r="Q5" i="2"/>
  <c r="R5" i="2"/>
  <c r="S5" i="2"/>
  <c r="O6" i="2"/>
  <c r="Q6" i="2"/>
  <c r="R6" i="2"/>
  <c r="S6" i="2"/>
  <c r="O7" i="2"/>
  <c r="Q7" i="2"/>
  <c r="R7" i="2"/>
  <c r="S7" i="2"/>
  <c r="O8" i="2"/>
  <c r="Q8" i="2"/>
  <c r="R8" i="2"/>
  <c r="S8" i="2"/>
  <c r="O9" i="2"/>
  <c r="Q9" i="2"/>
  <c r="R9" i="2"/>
  <c r="S9" i="2"/>
  <c r="O10" i="2"/>
  <c r="Q10" i="2"/>
  <c r="R10" i="2"/>
  <c r="S10" i="2"/>
  <c r="O11" i="2"/>
  <c r="Q11" i="2"/>
  <c r="R11" i="2"/>
  <c r="S11" i="2"/>
  <c r="O12" i="2"/>
  <c r="Q12" i="2"/>
  <c r="R12" i="2"/>
  <c r="S12" i="2"/>
  <c r="O13" i="2"/>
  <c r="Q13" i="2"/>
  <c r="R13" i="2"/>
  <c r="S13" i="2"/>
  <c r="O14" i="2"/>
  <c r="Q14" i="2"/>
  <c r="R14" i="2"/>
  <c r="S14" i="2"/>
  <c r="O15" i="2"/>
  <c r="Q15" i="2"/>
  <c r="R15" i="2"/>
  <c r="S15" i="2"/>
  <c r="O16" i="2"/>
  <c r="Q16" i="2"/>
  <c r="R16" i="2"/>
  <c r="S16" i="2"/>
  <c r="O17" i="2"/>
  <c r="Q17" i="2"/>
  <c r="R17" i="2"/>
  <c r="S17" i="2"/>
  <c r="O18" i="2"/>
  <c r="Q18" i="2"/>
  <c r="R18" i="2"/>
  <c r="S18" i="2"/>
  <c r="O19" i="2"/>
  <c r="Q19" i="2"/>
  <c r="R19" i="2"/>
  <c r="S19" i="2"/>
  <c r="O20" i="2"/>
  <c r="Q20" i="2"/>
  <c r="R20" i="2"/>
  <c r="S20" i="2"/>
  <c r="O21" i="2"/>
  <c r="Q21" i="2"/>
  <c r="R21" i="2"/>
  <c r="S21" i="2"/>
  <c r="O22" i="2"/>
  <c r="Q22" i="2"/>
  <c r="R22" i="2"/>
  <c r="S22" i="2"/>
  <c r="O23" i="2"/>
  <c r="Q23" i="2"/>
  <c r="R23" i="2"/>
  <c r="S23" i="2"/>
  <c r="O24" i="2"/>
  <c r="Q24" i="2"/>
  <c r="R24" i="2"/>
  <c r="S24" i="2"/>
  <c r="O25" i="2"/>
  <c r="Q25" i="2"/>
  <c r="R25" i="2"/>
  <c r="S25" i="2"/>
  <c r="O26" i="2"/>
  <c r="Q26" i="2"/>
  <c r="R26" i="2"/>
  <c r="S26" i="2"/>
  <c r="O27" i="2"/>
  <c r="Q27" i="2"/>
  <c r="R27" i="2"/>
  <c r="S27" i="2"/>
  <c r="O28" i="2"/>
  <c r="Q28" i="2"/>
  <c r="R28" i="2"/>
  <c r="S28" i="2"/>
  <c r="O29" i="2"/>
  <c r="Q29" i="2"/>
  <c r="R29" i="2"/>
  <c r="S29" i="2"/>
  <c r="O30" i="2"/>
  <c r="Q30" i="2"/>
  <c r="R30" i="2"/>
  <c r="S30" i="2"/>
  <c r="O31" i="2"/>
  <c r="Q31" i="2"/>
  <c r="R31" i="2"/>
  <c r="S31" i="2"/>
  <c r="O32" i="2"/>
  <c r="Q32" i="2"/>
  <c r="R32" i="2"/>
  <c r="S32" i="2"/>
  <c r="O33" i="2"/>
  <c r="Q33" i="2"/>
  <c r="R33" i="2"/>
  <c r="S33" i="2"/>
  <c r="O34" i="2"/>
  <c r="Q34" i="2"/>
  <c r="R34" i="2"/>
  <c r="S34" i="2"/>
  <c r="O35" i="2"/>
  <c r="Q35" i="2"/>
  <c r="R35" i="2"/>
  <c r="S35" i="2"/>
  <c r="O36" i="2"/>
  <c r="Q36" i="2"/>
  <c r="R36" i="2"/>
  <c r="S36" i="2"/>
  <c r="O37" i="2"/>
  <c r="Q37" i="2"/>
  <c r="R37" i="2"/>
  <c r="S37" i="2"/>
  <c r="O38" i="2"/>
  <c r="Q38" i="2"/>
  <c r="R38" i="2"/>
  <c r="S38" i="2"/>
  <c r="O39" i="2"/>
  <c r="Q39" i="2"/>
  <c r="R39" i="2"/>
  <c r="S39" i="2"/>
  <c r="O40" i="2"/>
  <c r="Q40" i="2"/>
  <c r="R40" i="2"/>
  <c r="S40" i="2"/>
  <c r="O41" i="2"/>
  <c r="Q41" i="2"/>
  <c r="R41" i="2"/>
  <c r="S41" i="2"/>
  <c r="O42" i="2"/>
  <c r="Q42" i="2"/>
  <c r="R42" i="2"/>
  <c r="S42" i="2"/>
  <c r="O43" i="2"/>
  <c r="Q43" i="2"/>
  <c r="R43" i="2"/>
  <c r="S43" i="2"/>
  <c r="O44" i="2"/>
  <c r="Q44" i="2"/>
  <c r="R44" i="2"/>
  <c r="S44" i="2"/>
  <c r="O45" i="2"/>
  <c r="Q45" i="2"/>
  <c r="R45" i="2"/>
  <c r="S45" i="2"/>
  <c r="O46" i="2"/>
  <c r="Q46" i="2"/>
  <c r="R46" i="2"/>
  <c r="S46" i="2"/>
  <c r="O47" i="2"/>
  <c r="Q47" i="2"/>
  <c r="R47" i="2"/>
  <c r="S47" i="2"/>
  <c r="O48" i="2"/>
  <c r="Q48" i="2"/>
  <c r="R48" i="2"/>
  <c r="S48" i="2"/>
  <c r="O49" i="2"/>
  <c r="Q49" i="2"/>
  <c r="R49" i="2"/>
  <c r="S49" i="2"/>
  <c r="O50" i="2"/>
  <c r="Q50" i="2"/>
  <c r="R50" i="2"/>
  <c r="S50" i="2"/>
  <c r="O51" i="2"/>
  <c r="Q51" i="2"/>
  <c r="R51" i="2"/>
  <c r="S51" i="2"/>
  <c r="O52" i="2"/>
  <c r="Q52" i="2"/>
  <c r="R52" i="2"/>
  <c r="S52" i="2"/>
  <c r="O53" i="2"/>
  <c r="Q53" i="2"/>
  <c r="R53" i="2"/>
  <c r="S53" i="2"/>
  <c r="O54" i="2"/>
  <c r="Q54" i="2"/>
  <c r="R54" i="2"/>
  <c r="S54" i="2"/>
  <c r="O55" i="2"/>
  <c r="Q55" i="2"/>
  <c r="R55" i="2"/>
  <c r="S55" i="2"/>
  <c r="O56" i="2"/>
  <c r="Q56" i="2"/>
  <c r="R56" i="2"/>
  <c r="S56" i="2"/>
  <c r="O57" i="2"/>
  <c r="Q57" i="2"/>
  <c r="R57" i="2"/>
  <c r="S57" i="2"/>
  <c r="O58" i="2"/>
  <c r="Q58" i="2"/>
  <c r="R58" i="2"/>
  <c r="S58" i="2"/>
  <c r="O59" i="2"/>
  <c r="Q59" i="2"/>
  <c r="R59" i="2"/>
  <c r="S59" i="2"/>
  <c r="O60" i="2"/>
  <c r="Q60" i="2"/>
  <c r="R60" i="2"/>
  <c r="S60" i="2"/>
  <c r="O61" i="2"/>
  <c r="Q61" i="2"/>
  <c r="R61" i="2"/>
  <c r="S61" i="2"/>
  <c r="O62" i="2"/>
  <c r="Q62" i="2"/>
  <c r="R62" i="2"/>
  <c r="S62" i="2"/>
  <c r="O63" i="2"/>
  <c r="Q63" i="2"/>
  <c r="R63" i="2"/>
  <c r="S63" i="2"/>
  <c r="O64" i="2"/>
  <c r="Q64" i="2"/>
  <c r="R64" i="2"/>
  <c r="S64" i="2"/>
  <c r="O65" i="2"/>
  <c r="Q65" i="2"/>
  <c r="R65" i="2"/>
  <c r="S65" i="2"/>
  <c r="O66" i="2"/>
  <c r="Q66" i="2"/>
  <c r="R66" i="2"/>
  <c r="S66" i="2"/>
  <c r="O67" i="2"/>
  <c r="Q67" i="2"/>
  <c r="R67" i="2"/>
  <c r="S67" i="2"/>
  <c r="O68" i="2"/>
  <c r="Q68" i="2"/>
  <c r="R68" i="2"/>
  <c r="S68" i="2"/>
  <c r="O69" i="2"/>
  <c r="Q69" i="2"/>
  <c r="R69" i="2"/>
  <c r="S69" i="2"/>
  <c r="O70" i="2"/>
  <c r="Q70" i="2"/>
  <c r="R70" i="2"/>
  <c r="S70" i="2"/>
  <c r="O71" i="2"/>
  <c r="Q71" i="2"/>
  <c r="R71" i="2"/>
  <c r="S71" i="2"/>
  <c r="O72" i="2"/>
  <c r="Q72" i="2"/>
  <c r="R72" i="2"/>
  <c r="S72" i="2"/>
  <c r="O73" i="2"/>
  <c r="Q73" i="2"/>
  <c r="R73" i="2"/>
  <c r="S73" i="2"/>
  <c r="O74" i="2"/>
  <c r="Q74" i="2"/>
  <c r="R74" i="2"/>
  <c r="S74" i="2"/>
  <c r="O75" i="2"/>
  <c r="Q75" i="2"/>
  <c r="R75" i="2"/>
  <c r="S75" i="2"/>
  <c r="O76" i="2"/>
  <c r="Q76" i="2"/>
  <c r="R76" i="2"/>
  <c r="S76" i="2"/>
  <c r="O77" i="2"/>
  <c r="Q77" i="2"/>
  <c r="R77" i="2"/>
  <c r="S77" i="2"/>
  <c r="O78" i="2"/>
  <c r="Q78" i="2"/>
  <c r="R78" i="2"/>
  <c r="S78" i="2"/>
  <c r="O79" i="2"/>
  <c r="Q79" i="2"/>
  <c r="R79" i="2"/>
  <c r="S79" i="2"/>
  <c r="O80" i="2"/>
  <c r="Q80" i="2"/>
  <c r="R80" i="2"/>
  <c r="S80" i="2"/>
  <c r="O81" i="2"/>
  <c r="Q81" i="2"/>
  <c r="R81" i="2"/>
  <c r="S81" i="2"/>
  <c r="O82" i="2"/>
  <c r="Q82" i="2"/>
  <c r="R82" i="2"/>
  <c r="S82" i="2"/>
  <c r="O83" i="2"/>
  <c r="Q83" i="2"/>
  <c r="R83" i="2"/>
  <c r="S83" i="2"/>
  <c r="O84" i="2"/>
  <c r="Q84" i="2"/>
  <c r="R84" i="2"/>
  <c r="S84" i="2"/>
  <c r="O85" i="2"/>
  <c r="Q85" i="2"/>
  <c r="R85" i="2"/>
  <c r="S85" i="2"/>
  <c r="O86" i="2"/>
  <c r="Q86" i="2"/>
  <c r="R86" i="2"/>
  <c r="S86" i="2"/>
  <c r="O87" i="2"/>
  <c r="Q87" i="2"/>
  <c r="R87" i="2"/>
  <c r="S87" i="2"/>
  <c r="O88" i="2"/>
  <c r="Q88" i="2"/>
  <c r="R88" i="2"/>
  <c r="S88" i="2"/>
  <c r="O89" i="2"/>
  <c r="Q89" i="2"/>
  <c r="R89" i="2"/>
  <c r="S89" i="2"/>
  <c r="O90" i="2"/>
  <c r="Q90" i="2"/>
  <c r="R90" i="2"/>
  <c r="S90" i="2"/>
  <c r="O91" i="2"/>
  <c r="Q91" i="2"/>
  <c r="R91" i="2"/>
  <c r="S91" i="2"/>
  <c r="O92" i="2"/>
  <c r="Q92" i="2"/>
  <c r="R92" i="2"/>
  <c r="S92" i="2"/>
  <c r="O93" i="2"/>
  <c r="Q93" i="2"/>
  <c r="R93" i="2"/>
  <c r="S93" i="2"/>
  <c r="O94" i="2"/>
  <c r="Q94" i="2"/>
  <c r="R94" i="2"/>
  <c r="S94" i="2"/>
  <c r="O95" i="2"/>
  <c r="Q95" i="2"/>
  <c r="R95" i="2"/>
  <c r="S95" i="2"/>
  <c r="O96" i="2"/>
  <c r="Q96" i="2"/>
  <c r="R96" i="2"/>
  <c r="S96" i="2"/>
  <c r="O97" i="2"/>
  <c r="Q97" i="2"/>
  <c r="R97" i="2"/>
  <c r="S97" i="2"/>
  <c r="O98" i="2"/>
  <c r="Q98" i="2"/>
  <c r="R98" i="2"/>
  <c r="S98" i="2"/>
  <c r="O99" i="2"/>
  <c r="Q99" i="2"/>
  <c r="R99" i="2"/>
  <c r="S99" i="2"/>
  <c r="O100" i="2"/>
  <c r="Q100" i="2"/>
  <c r="R100" i="2"/>
  <c r="S100" i="2"/>
  <c r="O101" i="2"/>
  <c r="Q101" i="2"/>
  <c r="R101" i="2"/>
  <c r="S101" i="2"/>
  <c r="O102" i="2"/>
  <c r="Q102" i="2"/>
  <c r="R102" i="2"/>
  <c r="S102" i="2"/>
  <c r="O103" i="2"/>
  <c r="Q103" i="2"/>
  <c r="R103" i="2"/>
  <c r="S103" i="2"/>
  <c r="O104" i="2"/>
  <c r="Q104" i="2"/>
  <c r="R104" i="2"/>
  <c r="S104" i="2"/>
  <c r="O105" i="2"/>
  <c r="Q105" i="2"/>
  <c r="R105" i="2"/>
  <c r="S105" i="2"/>
  <c r="O106" i="2"/>
  <c r="Q106" i="2"/>
  <c r="R106" i="2"/>
  <c r="S106" i="2"/>
  <c r="O107" i="2"/>
  <c r="Q107" i="2"/>
  <c r="R107" i="2"/>
  <c r="S107" i="2"/>
  <c r="O108" i="2"/>
  <c r="Q108" i="2"/>
  <c r="R108" i="2"/>
  <c r="S108" i="2"/>
  <c r="O109" i="2"/>
  <c r="Q109" i="2"/>
  <c r="R109" i="2"/>
  <c r="S109" i="2"/>
  <c r="O110" i="2"/>
  <c r="Q110" i="2"/>
  <c r="R110" i="2"/>
  <c r="S110" i="2"/>
  <c r="O111" i="2"/>
  <c r="Q111" i="2"/>
  <c r="R111" i="2"/>
  <c r="S111" i="2"/>
  <c r="O112" i="2"/>
  <c r="Q112" i="2"/>
  <c r="R112" i="2"/>
  <c r="S112" i="2"/>
  <c r="O113" i="2"/>
  <c r="Q113" i="2"/>
  <c r="R113" i="2"/>
  <c r="S113" i="2"/>
  <c r="O114" i="2"/>
  <c r="Q114" i="2"/>
  <c r="R114" i="2"/>
  <c r="S114" i="2"/>
  <c r="O115" i="2"/>
  <c r="Q115" i="2"/>
  <c r="R115" i="2"/>
  <c r="S115" i="2"/>
  <c r="O116" i="2"/>
  <c r="Q116" i="2"/>
  <c r="R116" i="2"/>
  <c r="S116" i="2"/>
  <c r="O117" i="2"/>
  <c r="Q117" i="2"/>
  <c r="R117" i="2"/>
  <c r="S117" i="2"/>
  <c r="O118" i="2"/>
  <c r="Q118" i="2"/>
  <c r="R118" i="2"/>
  <c r="S118" i="2"/>
  <c r="O119" i="2"/>
  <c r="Q119" i="2"/>
  <c r="R119" i="2"/>
  <c r="S119" i="2"/>
  <c r="O120" i="2"/>
  <c r="Q120" i="2"/>
  <c r="R120" i="2"/>
  <c r="S120" i="2"/>
  <c r="O121" i="2"/>
  <c r="Q121" i="2"/>
  <c r="R121" i="2"/>
  <c r="S121" i="2"/>
  <c r="O122" i="2"/>
  <c r="Q122" i="2"/>
  <c r="R122" i="2"/>
  <c r="S122" i="2"/>
  <c r="O123" i="2"/>
  <c r="Q123" i="2"/>
  <c r="R123" i="2"/>
  <c r="S123" i="2"/>
  <c r="O124" i="2"/>
  <c r="Q124" i="2"/>
  <c r="R124" i="2"/>
  <c r="S124" i="2"/>
  <c r="O125" i="2"/>
  <c r="Q125" i="2"/>
  <c r="R125" i="2"/>
  <c r="S125" i="2"/>
  <c r="O126" i="2"/>
  <c r="Q126" i="2"/>
  <c r="R126" i="2"/>
  <c r="S126" i="2"/>
  <c r="O127" i="2"/>
  <c r="Q127" i="2"/>
  <c r="R127" i="2"/>
  <c r="S127" i="2"/>
  <c r="O128" i="2"/>
  <c r="Q128" i="2"/>
  <c r="R128" i="2"/>
  <c r="S128" i="2"/>
  <c r="O129" i="2"/>
  <c r="Q129" i="2"/>
  <c r="R129" i="2"/>
  <c r="S129" i="2"/>
  <c r="O130" i="2"/>
  <c r="Q130" i="2"/>
  <c r="R130" i="2"/>
  <c r="S130" i="2"/>
  <c r="O131" i="2"/>
  <c r="Q131" i="2"/>
  <c r="R131" i="2"/>
  <c r="S131" i="2"/>
  <c r="O132" i="2"/>
  <c r="Q132" i="2"/>
  <c r="R132" i="2"/>
  <c r="S132" i="2"/>
  <c r="O133" i="2"/>
  <c r="Q133" i="2"/>
  <c r="R133" i="2"/>
  <c r="S133" i="2"/>
  <c r="O134" i="2"/>
  <c r="Q134" i="2"/>
  <c r="R134" i="2"/>
  <c r="S134" i="2"/>
  <c r="O135" i="2"/>
  <c r="Q135" i="2"/>
  <c r="R135" i="2"/>
  <c r="S135" i="2"/>
  <c r="O136" i="2"/>
  <c r="Q136" i="2"/>
  <c r="R136" i="2"/>
  <c r="S136" i="2"/>
  <c r="O137" i="2"/>
  <c r="Q137" i="2"/>
  <c r="R137" i="2"/>
  <c r="S137" i="2"/>
  <c r="O138" i="2"/>
  <c r="Q138" i="2"/>
  <c r="R138" i="2"/>
  <c r="S138" i="2"/>
  <c r="O139" i="2"/>
  <c r="Q139" i="2"/>
  <c r="R139" i="2"/>
  <c r="S139" i="2"/>
  <c r="O140" i="2"/>
  <c r="Q140" i="2"/>
  <c r="R140" i="2"/>
  <c r="S140" i="2"/>
  <c r="O141" i="2"/>
  <c r="Q141" i="2"/>
  <c r="R141" i="2"/>
  <c r="S141" i="2"/>
  <c r="O142" i="2"/>
  <c r="Q142" i="2"/>
  <c r="R142" i="2"/>
  <c r="S142" i="2"/>
  <c r="O143" i="2"/>
  <c r="Q143" i="2"/>
  <c r="R143" i="2"/>
  <c r="S143" i="2"/>
  <c r="W228" i="1"/>
  <c r="X228" i="1"/>
  <c r="Y228" i="1"/>
  <c r="Z228" i="1"/>
  <c r="W227" i="1"/>
  <c r="X227" i="1"/>
  <c r="Y227" i="1"/>
  <c r="Z227" i="1"/>
  <c r="W226" i="1"/>
  <c r="X226" i="1"/>
  <c r="Y226" i="1"/>
  <c r="Z226" i="1"/>
  <c r="W80" i="1"/>
  <c r="X80" i="1"/>
  <c r="Y80" i="1"/>
  <c r="Z80" i="1"/>
  <c r="W123" i="1"/>
  <c r="X123" i="1"/>
  <c r="Y123" i="1"/>
  <c r="Z123" i="1"/>
  <c r="W3"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5" i="1"/>
  <c r="W66" i="1"/>
  <c r="W67" i="1"/>
  <c r="W68" i="1"/>
  <c r="W69" i="1"/>
  <c r="W70" i="1"/>
  <c r="W71" i="1"/>
  <c r="W72" i="1"/>
  <c r="W73" i="1"/>
  <c r="W74" i="1"/>
  <c r="W77" i="1"/>
  <c r="W75" i="1"/>
  <c r="W76" i="1"/>
  <c r="W81" i="1"/>
  <c r="W78" i="1"/>
  <c r="W79" i="1"/>
  <c r="W82" i="1"/>
  <c r="W83" i="1"/>
  <c r="W84" i="1"/>
  <c r="W85" i="1"/>
  <c r="W86" i="1"/>
  <c r="W87" i="1"/>
  <c r="W88" i="1"/>
  <c r="W89" i="1"/>
  <c r="W90" i="1"/>
  <c r="W91" i="1"/>
  <c r="W92" i="1"/>
  <c r="W93" i="1"/>
  <c r="W94" i="1"/>
  <c r="W95" i="1"/>
  <c r="W96" i="1"/>
  <c r="W97" i="1"/>
  <c r="W100" i="1"/>
  <c r="W102" i="1"/>
  <c r="W103" i="1"/>
  <c r="W98" i="1"/>
  <c r="W99" i="1"/>
  <c r="W101" i="1"/>
  <c r="W104" i="1"/>
  <c r="W105" i="1"/>
  <c r="W106" i="1"/>
  <c r="W107" i="1"/>
  <c r="W108" i="1"/>
  <c r="W110" i="1"/>
  <c r="W109" i="1"/>
  <c r="W111" i="1"/>
  <c r="W112" i="1"/>
  <c r="W113" i="1"/>
  <c r="W114" i="1"/>
  <c r="W115" i="1"/>
  <c r="W116" i="1"/>
  <c r="W117" i="1"/>
  <c r="W118" i="1"/>
  <c r="W119" i="1"/>
  <c r="W120" i="1"/>
  <c r="W121" i="1"/>
  <c r="W124" i="1"/>
  <c r="W122" i="1"/>
  <c r="W127" i="1"/>
  <c r="W126" i="1"/>
  <c r="W129" i="1"/>
  <c r="W131" i="1"/>
  <c r="W128" i="1"/>
  <c r="W133" i="1"/>
  <c r="W134" i="1"/>
  <c r="W132"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4" i="1"/>
  <c r="W125" i="1"/>
  <c r="W64" i="1"/>
  <c r="W130" i="1"/>
  <c r="W170" i="1"/>
  <c r="W224" i="1"/>
  <c r="W225" i="1"/>
  <c r="W2" i="1"/>
  <c r="Y2" i="1"/>
  <c r="Y3"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5" i="1"/>
  <c r="Y66" i="1"/>
  <c r="Y67" i="1"/>
  <c r="Y68" i="1"/>
  <c r="Y69" i="1"/>
  <c r="Y70" i="1"/>
  <c r="Y71" i="1"/>
  <c r="Y72" i="1"/>
  <c r="Y73" i="1"/>
  <c r="Y74" i="1"/>
  <c r="Y77" i="1"/>
  <c r="Y75" i="1"/>
  <c r="Y76" i="1"/>
  <c r="Y81" i="1"/>
  <c r="Y78" i="1"/>
  <c r="Y79" i="1"/>
  <c r="Y82" i="1"/>
  <c r="Y83" i="1"/>
  <c r="Y84" i="1"/>
  <c r="Y85" i="1"/>
  <c r="Y86" i="1"/>
  <c r="Y87" i="1"/>
  <c r="Y88" i="1"/>
  <c r="Y89" i="1"/>
  <c r="Y90" i="1"/>
  <c r="Y91" i="1"/>
  <c r="Y92" i="1"/>
  <c r="Y93" i="1"/>
  <c r="Y94" i="1"/>
  <c r="Y95" i="1"/>
  <c r="Y96" i="1"/>
  <c r="Y97" i="1"/>
  <c r="Y100" i="1"/>
  <c r="Y102" i="1"/>
  <c r="Y103" i="1"/>
  <c r="Y98" i="1"/>
  <c r="Y99" i="1"/>
  <c r="Y101" i="1"/>
  <c r="Y104" i="1"/>
  <c r="Y105" i="1"/>
  <c r="Y106" i="1"/>
  <c r="Y107" i="1"/>
  <c r="Y108" i="1"/>
  <c r="Y110" i="1"/>
  <c r="Y109" i="1"/>
  <c r="Y111" i="1"/>
  <c r="Y112" i="1"/>
  <c r="Y113" i="1"/>
  <c r="Y114" i="1"/>
  <c r="Y115" i="1"/>
  <c r="Y116" i="1"/>
  <c r="Y117" i="1"/>
  <c r="Y118" i="1"/>
  <c r="Y119" i="1"/>
  <c r="Y120" i="1"/>
  <c r="Y121" i="1"/>
  <c r="Y124" i="1"/>
  <c r="Y122" i="1"/>
  <c r="Y127" i="1"/>
  <c r="Y126" i="1"/>
  <c r="Y129" i="1"/>
  <c r="Y131" i="1"/>
  <c r="Y128" i="1"/>
  <c r="Y133" i="1"/>
  <c r="Y134" i="1"/>
  <c r="Y132"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4" i="1"/>
  <c r="Y125" i="1"/>
  <c r="Y64" i="1"/>
  <c r="Y130" i="1"/>
  <c r="Y170" i="1"/>
  <c r="Y224" i="1"/>
  <c r="Y225" i="1"/>
  <c r="X74" i="1"/>
  <c r="X73" i="1"/>
  <c r="X72" i="1"/>
  <c r="X71" i="1"/>
  <c r="X70" i="1"/>
  <c r="X69" i="1"/>
  <c r="X68" i="1"/>
  <c r="X67" i="1"/>
  <c r="X66" i="1"/>
  <c r="X65"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100" i="1"/>
  <c r="X97" i="1"/>
  <c r="X96" i="1"/>
  <c r="X95" i="1"/>
  <c r="X94" i="1"/>
  <c r="X93" i="1"/>
  <c r="X92" i="1"/>
  <c r="X91" i="1"/>
  <c r="X90" i="1"/>
  <c r="X89" i="1"/>
  <c r="X88" i="1"/>
  <c r="X87" i="1"/>
  <c r="X86" i="1"/>
  <c r="X85" i="1"/>
  <c r="X84" i="1"/>
  <c r="X83" i="1"/>
  <c r="X82" i="1"/>
  <c r="X79" i="1"/>
  <c r="X78" i="1"/>
  <c r="X81" i="1"/>
  <c r="X76" i="1"/>
  <c r="X75" i="1"/>
  <c r="X108" i="1"/>
  <c r="X107" i="1"/>
  <c r="X106" i="1"/>
  <c r="X105" i="1"/>
  <c r="X104" i="1"/>
  <c r="X101" i="1"/>
  <c r="X99" i="1"/>
  <c r="X98" i="1"/>
  <c r="X121" i="1"/>
  <c r="X120" i="1"/>
  <c r="X119" i="1"/>
  <c r="X118" i="1"/>
  <c r="X117" i="1"/>
  <c r="X116" i="1"/>
  <c r="X115" i="1"/>
  <c r="X114" i="1"/>
  <c r="X113" i="1"/>
  <c r="X112" i="1"/>
  <c r="X111" i="1"/>
  <c r="X109" i="1"/>
  <c r="X122" i="1"/>
  <c r="X134" i="1"/>
  <c r="X133" i="1"/>
  <c r="X128" i="1"/>
  <c r="X131" i="1"/>
  <c r="X129" i="1"/>
  <c r="X126" i="1"/>
  <c r="X150" i="1"/>
  <c r="X149" i="1"/>
  <c r="X148" i="1"/>
  <c r="X147" i="1"/>
  <c r="X146" i="1"/>
  <c r="X145" i="1"/>
  <c r="X144" i="1"/>
  <c r="X143" i="1"/>
  <c r="X142" i="1"/>
  <c r="X141" i="1"/>
  <c r="X140" i="1"/>
  <c r="X139" i="1"/>
  <c r="X138" i="1"/>
  <c r="X137" i="1"/>
  <c r="X136" i="1"/>
  <c r="X135"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69" i="1"/>
  <c r="X168" i="1"/>
  <c r="X167" i="1"/>
  <c r="X166" i="1"/>
  <c r="X165" i="1"/>
  <c r="X164" i="1"/>
  <c r="X163" i="1"/>
  <c r="X162" i="1"/>
  <c r="X161" i="1"/>
  <c r="X160" i="1"/>
  <c r="X159" i="1"/>
  <c r="X158" i="1"/>
  <c r="X157" i="1"/>
  <c r="X156" i="1"/>
  <c r="X155" i="1"/>
  <c r="X154" i="1"/>
  <c r="X153" i="1"/>
  <c r="X152" i="1"/>
  <c r="X64" i="1"/>
  <c r="X223" i="1"/>
  <c r="X225" i="1"/>
  <c r="Z225" i="1"/>
  <c r="X224" i="1"/>
  <c r="Z224" i="1"/>
  <c r="X170" i="1"/>
  <c r="Z170" i="1"/>
  <c r="X130" i="1"/>
  <c r="Z130" i="1"/>
  <c r="Z64" i="1"/>
  <c r="Z2" i="1"/>
  <c r="Z3"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5" i="1"/>
  <c r="Z66" i="1"/>
  <c r="Z67" i="1"/>
  <c r="Z68" i="1"/>
  <c r="Z69" i="1"/>
  <c r="Z70" i="1"/>
  <c r="Z71" i="1"/>
  <c r="Z72" i="1"/>
  <c r="Z73" i="1"/>
  <c r="Z74" i="1"/>
  <c r="Z77" i="1"/>
  <c r="Z75" i="1"/>
  <c r="Z76" i="1"/>
  <c r="Z81" i="1"/>
  <c r="Z78" i="1"/>
  <c r="Z79" i="1"/>
  <c r="Z82" i="1"/>
  <c r="Z83" i="1"/>
  <c r="Z84" i="1"/>
  <c r="Z85" i="1"/>
  <c r="Z86" i="1"/>
  <c r="Z87" i="1"/>
  <c r="Z88" i="1"/>
  <c r="Z89" i="1"/>
  <c r="Z90" i="1"/>
  <c r="Z91" i="1"/>
  <c r="Z92" i="1"/>
  <c r="Z93" i="1"/>
  <c r="Z94" i="1"/>
  <c r="Z95" i="1"/>
  <c r="Z96" i="1"/>
  <c r="Z97" i="1"/>
  <c r="Z100" i="1"/>
  <c r="Z102" i="1"/>
  <c r="Z103" i="1"/>
  <c r="Z98" i="1"/>
  <c r="Z99" i="1"/>
  <c r="Z101" i="1"/>
  <c r="Z104" i="1"/>
  <c r="Z105" i="1"/>
  <c r="Z106" i="1"/>
  <c r="Z107" i="1"/>
  <c r="Z108" i="1"/>
  <c r="Z110" i="1"/>
  <c r="Z109" i="1"/>
  <c r="Z111" i="1"/>
  <c r="Z112" i="1"/>
  <c r="Z113" i="1"/>
  <c r="Z114" i="1"/>
  <c r="Z115" i="1"/>
  <c r="Z116" i="1"/>
  <c r="Z117" i="1"/>
  <c r="Z118" i="1"/>
  <c r="Z119" i="1"/>
  <c r="Z120" i="1"/>
  <c r="Z121" i="1"/>
  <c r="Z124" i="1"/>
  <c r="Z122" i="1"/>
  <c r="Z127" i="1"/>
  <c r="Z126" i="1"/>
  <c r="Z129" i="1"/>
  <c r="Z131" i="1"/>
  <c r="Z128" i="1"/>
  <c r="Z133" i="1"/>
  <c r="Z134" i="1"/>
  <c r="Z132"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4" i="1"/>
  <c r="Z125" i="1"/>
  <c r="X127" i="1"/>
  <c r="X124" i="1"/>
  <c r="X110" i="1"/>
  <c r="X77" i="1"/>
  <c r="X102" i="1"/>
  <c r="X103" i="1"/>
  <c r="X125" i="1"/>
  <c r="X132" i="1"/>
  <c r="X151" i="1"/>
  <c r="P136" i="2"/>
  <c r="P67" i="2"/>
  <c r="P5" i="2"/>
  <c r="P115" i="2"/>
  <c r="P34" i="2"/>
  <c r="P105" i="2"/>
  <c r="P56" i="2"/>
  <c r="P30" i="2"/>
  <c r="P40" i="2"/>
  <c r="P74" i="2"/>
  <c r="P138" i="2"/>
  <c r="P26" i="2"/>
  <c r="P36" i="2"/>
  <c r="P15" i="2"/>
  <c r="P28" i="2"/>
  <c r="P61" i="2"/>
  <c r="P21" i="2"/>
  <c r="P109" i="2"/>
  <c r="P33" i="2"/>
  <c r="P107" i="2"/>
  <c r="P70" i="2"/>
  <c r="P98" i="2"/>
  <c r="P23" i="2"/>
  <c r="P53" i="2"/>
  <c r="P52" i="2"/>
  <c r="P8" i="2"/>
  <c r="P131" i="2"/>
  <c r="P58" i="2"/>
  <c r="P137" i="2"/>
  <c r="P25" i="2"/>
  <c r="P29" i="2"/>
  <c r="P18" i="2"/>
  <c r="P141" i="2"/>
  <c r="P76" i="2"/>
  <c r="P12" i="2"/>
  <c r="P103" i="2"/>
  <c r="P55" i="2"/>
  <c r="P63" i="2"/>
  <c r="P19" i="2"/>
  <c r="P89" i="2"/>
  <c r="P139" i="2"/>
  <c r="P10" i="2"/>
  <c r="P113" i="2"/>
  <c r="P95" i="2"/>
  <c r="P39" i="2"/>
  <c r="P123" i="2"/>
  <c r="P112" i="2"/>
  <c r="P69" i="2"/>
  <c r="P32" i="2"/>
  <c r="P17" i="2"/>
  <c r="P75" i="2"/>
  <c r="P46" i="2"/>
  <c r="P111" i="2"/>
  <c r="P128" i="2"/>
  <c r="P9" i="2"/>
  <c r="P43" i="2"/>
  <c r="P72" i="2"/>
  <c r="P37" i="2"/>
  <c r="P57" i="2"/>
  <c r="P50" i="2"/>
  <c r="P116" i="2"/>
  <c r="P71" i="2"/>
  <c r="P65" i="2"/>
  <c r="P88" i="2"/>
  <c r="P47" i="2"/>
  <c r="P3" i="2"/>
  <c r="P86" i="2"/>
  <c r="P114" i="2"/>
  <c r="P90" i="2"/>
  <c r="P78" i="2"/>
  <c r="P126" i="2"/>
  <c r="P4" i="2"/>
  <c r="P124" i="2"/>
  <c r="P59" i="2"/>
  <c r="P142" i="2"/>
  <c r="P143" i="2"/>
  <c r="P133" i="2"/>
  <c r="P130" i="2"/>
  <c r="P6" i="2"/>
  <c r="P99" i="2"/>
  <c r="P68" i="2"/>
  <c r="P106" i="2"/>
  <c r="P97" i="2"/>
  <c r="P42" i="2"/>
  <c r="P62" i="2"/>
  <c r="P48" i="2"/>
  <c r="P13" i="2"/>
  <c r="P81" i="2"/>
  <c r="P54" i="2"/>
  <c r="P125" i="2"/>
  <c r="P14" i="2"/>
  <c r="P77" i="2"/>
  <c r="P100" i="2"/>
  <c r="P20" i="2"/>
  <c r="P101" i="2"/>
  <c r="P92" i="2"/>
  <c r="P102" i="2"/>
  <c r="P119" i="2"/>
  <c r="P120" i="2"/>
  <c r="P117" i="2"/>
  <c r="P11" i="2"/>
  <c r="P140" i="2"/>
  <c r="P51" i="2"/>
  <c r="P38" i="2"/>
  <c r="P27" i="2"/>
  <c r="P118" i="2"/>
  <c r="P64" i="2"/>
  <c r="P24" i="2"/>
  <c r="P7" i="2"/>
  <c r="P60" i="2"/>
  <c r="P96" i="2"/>
  <c r="P79" i="2"/>
  <c r="P84" i="2"/>
  <c r="P108" i="2"/>
  <c r="P31" i="2"/>
  <c r="P132" i="2"/>
  <c r="P87" i="2"/>
  <c r="P16" i="2"/>
  <c r="P91" i="2"/>
  <c r="P85" i="2"/>
  <c r="P83" i="2"/>
  <c r="P129" i="2"/>
  <c r="P80" i="2"/>
  <c r="P93" i="2"/>
  <c r="P35" i="2"/>
  <c r="P66" i="2"/>
  <c r="P135" i="2"/>
  <c r="P94" i="2"/>
  <c r="P127" i="2"/>
  <c r="P121" i="2"/>
  <c r="P45" i="2"/>
  <c r="P44" i="2"/>
  <c r="P41" i="2"/>
  <c r="P22" i="2"/>
  <c r="P49" i="2"/>
  <c r="P104" i="2"/>
  <c r="P73" i="2"/>
  <c r="P110" i="2"/>
  <c r="P82" i="2"/>
  <c r="P134" i="2"/>
  <c r="P12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<sst xmlns="http://schemas.openxmlformats.org/spreadsheetml/2006/main" count="2913" uniqueCount="1506">
  <si>
    <t>Site</t>
  </si>
  <si>
    <t>URL</t>
  </si>
  <si>
    <t>Army Web Sites</t>
  </si>
  <si>
    <t>Combat Readiness</t>
  </si>
  <si>
    <t>DOD Resources</t>
  </si>
  <si>
    <t>Family</t>
  </si>
  <si>
    <t>Finance</t>
  </si>
  <si>
    <t>Health Resources</t>
  </si>
  <si>
    <t>Human Resources</t>
  </si>
  <si>
    <t>Legal Resources</t>
  </si>
  <si>
    <t>Professional Development</t>
  </si>
  <si>
    <t>Resources/Information Technology</t>
  </si>
  <si>
    <t>Mil Ed</t>
  </si>
  <si>
    <t>Civ Ed</t>
  </si>
  <si>
    <t>US Gov Web Sites</t>
  </si>
  <si>
    <t>Air Force Weather Agency</t>
  </si>
  <si>
    <t xml:space="preserve">https://weather.af.mil/ </t>
  </si>
  <si>
    <t>A00</t>
  </si>
  <si>
    <t>X</t>
  </si>
  <si>
    <t>AMEDD Command Management System</t>
  </si>
  <si>
    <t>https://cms.mods.army.mil/cms/</t>
  </si>
  <si>
    <t>A01</t>
  </si>
  <si>
    <t>Anti-Terrorism Enterprise Portal</t>
  </si>
  <si>
    <t>https://army.deps.mil/army/sites/PMG/prog/ATEP/default.aspx</t>
  </si>
  <si>
    <t>A02</t>
  </si>
  <si>
    <t>Antivirus Home Use Program (AV HUP)</t>
  </si>
  <si>
    <t>A03</t>
  </si>
  <si>
    <t>A04</t>
  </si>
  <si>
    <t>Army Accident Reporting System</t>
  </si>
  <si>
    <t>https://reportit.safety.army.mil/</t>
  </si>
  <si>
    <t>A05</t>
  </si>
  <si>
    <t>Army Benefits Center</t>
  </si>
  <si>
    <t>https://wr.acpol.army.mil/abc/</t>
  </si>
  <si>
    <t>A06</t>
  </si>
  <si>
    <t>Army Career Tracker</t>
  </si>
  <si>
    <t>https://actnow.army.mil/</t>
  </si>
  <si>
    <t>A07</t>
  </si>
  <si>
    <t>Army Combat Readiness Center</t>
  </si>
  <si>
    <t>https://safety.army.mil/</t>
  </si>
  <si>
    <t>A08</t>
  </si>
  <si>
    <t>Army Community Service Staff System</t>
  </si>
  <si>
    <t>A09</t>
  </si>
  <si>
    <t>Army Credentialing Opportunities On-Line (COOL)</t>
  </si>
  <si>
    <t>https://www.cool.osd.mil/army/</t>
  </si>
  <si>
    <t>A10</t>
  </si>
  <si>
    <t>Army E-Learning</t>
  </si>
  <si>
    <t>https://www.dls.army.mil/Army_e-Learning.html</t>
  </si>
  <si>
    <t>A11</t>
  </si>
  <si>
    <t>Army Enterprise Service Desk (AESD)</t>
  </si>
  <si>
    <t>https://snpro.aesd-w.army.mil/</t>
  </si>
  <si>
    <t>A12</t>
  </si>
  <si>
    <t>https://login.aesip.army.mil</t>
  </si>
  <si>
    <t>Army Family and Moral, Welfare and Recreation Programs</t>
  </si>
  <si>
    <t>https://www.armymwr.com/</t>
  </si>
  <si>
    <t>A13</t>
  </si>
  <si>
    <t>https://vsfrg.armyfamilywebportal.com/</t>
  </si>
  <si>
    <t>A14</t>
  </si>
  <si>
    <t>Army Fit</t>
  </si>
  <si>
    <t xml:space="preserve">https://armyfit.army.mil/ </t>
  </si>
  <si>
    <t>A15</t>
  </si>
  <si>
    <t>Army Housing Online User Services</t>
  </si>
  <si>
    <t>https://www.housing.army.mil/</t>
  </si>
  <si>
    <t>A16</t>
  </si>
  <si>
    <t>Army Human Resources Command</t>
  </si>
  <si>
    <t>https://www.hrc.army.mil/</t>
  </si>
  <si>
    <t>A17</t>
  </si>
  <si>
    <t>Army Ideas for Innovation (AI2)</t>
  </si>
  <si>
    <t>https://www.milsuite.mil/book/community/spaces/ai2</t>
  </si>
  <si>
    <t>A18</t>
  </si>
  <si>
    <t>Army Learning Management System (ALMS)</t>
  </si>
  <si>
    <t>https://www.lms.army.mil/</t>
  </si>
  <si>
    <t>A19</t>
  </si>
  <si>
    <t>Army Maintenance Application (ArMA)</t>
  </si>
  <si>
    <t>https://www.armymaintenance.com/arma</t>
  </si>
  <si>
    <t>A20</t>
  </si>
  <si>
    <t>Army National Guard GI Personnel Gateway</t>
  </si>
  <si>
    <t>A21</t>
  </si>
  <si>
    <t>Army Public Health Center</t>
  </si>
  <si>
    <t>https://phc.amedd.army.mil/Pages/default.aspx/</t>
  </si>
  <si>
    <t>A23</t>
  </si>
  <si>
    <t xml:space="preserve">https://armypubs.army.mil/ </t>
  </si>
  <si>
    <t>A22</t>
  </si>
  <si>
    <t>Army Readiness Assessment Program</t>
  </si>
  <si>
    <t xml:space="preserve">https://earap.safety.army.mil/ </t>
  </si>
  <si>
    <t>A24</t>
  </si>
  <si>
    <t>Army Senior Leadership</t>
  </si>
  <si>
    <t>https://www.army.mil/leaders/sa/</t>
  </si>
  <si>
    <t>A25</t>
  </si>
  <si>
    <t>A26</t>
  </si>
  <si>
    <t>Army Substance Abuse Program (ASAP)</t>
  </si>
  <si>
    <t>https://sr2.army.mil/</t>
  </si>
  <si>
    <t>A27</t>
  </si>
  <si>
    <t>Army Sustainment</t>
  </si>
  <si>
    <t>https://alu.army.mil/alog/</t>
  </si>
  <si>
    <t>A28</t>
  </si>
  <si>
    <t>Army Training and Certification Tracking System</t>
  </si>
  <si>
    <t>https://atc.us.army.mil/iastar/</t>
  </si>
  <si>
    <t>A29</t>
  </si>
  <si>
    <t>Army Training Information System</t>
  </si>
  <si>
    <t>https://www.atis.army.mil/Index.html</t>
  </si>
  <si>
    <t>A30</t>
  </si>
  <si>
    <t>Army Training Network</t>
  </si>
  <si>
    <t>https://atn.army.mil/</t>
  </si>
  <si>
    <t>A31</t>
  </si>
  <si>
    <t>Army Training Requirements and Resources System (ATRRS)</t>
  </si>
  <si>
    <t>A32</t>
  </si>
  <si>
    <t>Army Veterinary Corps</t>
  </si>
  <si>
    <t>https://veterinarycorps.amedd.army.mil/</t>
  </si>
  <si>
    <t>A33</t>
  </si>
  <si>
    <t>https://web.mail.mil</t>
  </si>
  <si>
    <t>A34</t>
  </si>
  <si>
    <t>Assignment Satisfaction Key</t>
  </si>
  <si>
    <t>A35</t>
  </si>
  <si>
    <t>Automated Personal Clothing Request</t>
  </si>
  <si>
    <t>https://da3078.natick.army.mil/</t>
  </si>
  <si>
    <t>Center for the Army Profession and Leadership (CAPL)</t>
  </si>
  <si>
    <t>https://capl.army.mil/</t>
  </si>
  <si>
    <t>C00</t>
  </si>
  <si>
    <t>Central Army Registry (CAR)</t>
  </si>
  <si>
    <t>https://atiam.train.army.mil/catalog/dashboard</t>
  </si>
  <si>
    <t>C01</t>
  </si>
  <si>
    <t>Comprehensive Soldier and Family Fitness</t>
  </si>
  <si>
    <t xml:space="preserve">https://www.usar.army.mil/CSF/ </t>
  </si>
  <si>
    <t>C02</t>
  </si>
  <si>
    <t>Computer Hardware Enterprise Software and Solutions (CHESS)</t>
  </si>
  <si>
    <t>https://chess.army.mil/</t>
  </si>
  <si>
    <t>C03</t>
  </si>
  <si>
    <t>Cyber Awareness Challenge</t>
  </si>
  <si>
    <t>https://cs.signal.army.mil</t>
  </si>
  <si>
    <t>C04</t>
  </si>
  <si>
    <t>D00</t>
  </si>
  <si>
    <t>Defense Finance and Accounting Service (DFAS)</t>
  </si>
  <si>
    <t>https://www.dfas.mil/</t>
  </si>
  <si>
    <t>D01</t>
  </si>
  <si>
    <t>Defense Information Systems Agency</t>
  </si>
  <si>
    <t>https://disa.deps.mil/ext/cop/mae/SitePages/Programs.aspx</t>
  </si>
  <si>
    <t>D02</t>
  </si>
  <si>
    <t>Defense Logistics Agency</t>
  </si>
  <si>
    <t>https://business.dla.mil/landing/index.html</t>
  </si>
  <si>
    <t>Defense Travel Management System</t>
  </si>
  <si>
    <t>https://www.defensetravel.dod.mil/</t>
  </si>
  <si>
    <t>D03</t>
  </si>
  <si>
    <t>Defense Travel System</t>
  </si>
  <si>
    <t>https://www.defensetravel.osd.mil/</t>
  </si>
  <si>
    <t>D04</t>
  </si>
  <si>
    <t>Department of the Army Photo Management Information System (DAPMIS)</t>
  </si>
  <si>
    <t>https://dapmis.hrc.army.mil/ImageAcceptProlog.action</t>
  </si>
  <si>
    <t>D05</t>
  </si>
  <si>
    <t>Deployed Digital Training Campus (DDTC)</t>
  </si>
  <si>
    <t>https://www.atis.army.mil/DDTC.html</t>
  </si>
  <si>
    <t>D06</t>
  </si>
  <si>
    <t>Deployment Health Assessment Program (DHAP)</t>
  </si>
  <si>
    <t>D07</t>
  </si>
  <si>
    <t>Digital Training Facility (DTF)</t>
  </si>
  <si>
    <t>https://www.atis.army.mil/DTF.html</t>
  </si>
  <si>
    <t>D08</t>
  </si>
  <si>
    <t>https://dtms.army.mil/</t>
  </si>
  <si>
    <t>D09</t>
  </si>
  <si>
    <t>DOD CAC Reference Center</t>
  </si>
  <si>
    <t>D10</t>
  </si>
  <si>
    <t>DOD MWR Libraries Overdrive</t>
  </si>
  <si>
    <t>https://dod.overdrive.com/dod-armymwr/content</t>
  </si>
  <si>
    <t>D11</t>
  </si>
  <si>
    <t>DS Login Registration</t>
  </si>
  <si>
    <t>https://myaccess.dmdc.osd.mil/identitymanagement/registration.do?execution=e1s1</t>
  </si>
  <si>
    <t>D12</t>
  </si>
  <si>
    <t>EagleCash</t>
  </si>
  <si>
    <t>https://fiscal.treasury.gov/eaglecash/</t>
  </si>
  <si>
    <t>E00</t>
  </si>
  <si>
    <t>eBenefits</t>
  </si>
  <si>
    <t>https://www.ebenefits.va.gov/ebenefits</t>
  </si>
  <si>
    <t>E01</t>
  </si>
  <si>
    <t>electronic Financial Liability Investigations of Property Loss</t>
  </si>
  <si>
    <t>https://eflipl.army.mil</t>
  </si>
  <si>
    <t>eMILPO</t>
  </si>
  <si>
    <t>https://emilpo.ahrs.army.mil/</t>
  </si>
  <si>
    <t>E02</t>
  </si>
  <si>
    <t>Evaluation Entry System</t>
  </si>
  <si>
    <t>https://evaluations.hrc.army.mil/</t>
  </si>
  <si>
    <t>E03</t>
  </si>
  <si>
    <t>FEDLOG</t>
  </si>
  <si>
    <t>https://www.us.army.mil/common/fedlog/FEDLOG.ZIP</t>
  </si>
  <si>
    <t>F00</t>
  </si>
  <si>
    <t>FEDLOG LITE</t>
  </si>
  <si>
    <t xml:space="preserve">https://www.us.army.mil/common/fedlog/FEDLOGLITE.ZIP </t>
  </si>
  <si>
    <t>F01</t>
  </si>
  <si>
    <t>FEDMALL</t>
  </si>
  <si>
    <t>https://www.fedmall.mil/index.html</t>
  </si>
  <si>
    <t>F02</t>
  </si>
  <si>
    <t>Financial Disclosure Management</t>
  </si>
  <si>
    <t>https://www.fdm.army.mil/</t>
  </si>
  <si>
    <t>F03</t>
  </si>
  <si>
    <t>Force Management System (FMSWeb)</t>
  </si>
  <si>
    <t>https://fmsweb.fms.army.mil/</t>
  </si>
  <si>
    <t>F04</t>
  </si>
  <si>
    <t>Global Combat Support System</t>
  </si>
  <si>
    <t>https://www.gcss-army.army.mil/irj/portal</t>
  </si>
  <si>
    <t>GENERAL FUND ENTERPRISE BUSINESS SYSTEM</t>
  </si>
  <si>
    <t>https://prodep.gfebs-erp.army.mil</t>
  </si>
  <si>
    <t>G00</t>
  </si>
  <si>
    <t>GI Suicide Prevention</t>
  </si>
  <si>
    <t>G01</t>
  </si>
  <si>
    <t>https://army.deps.mil/netcom/sites/GEARS/Live</t>
  </si>
  <si>
    <t xml:space="preserve">https://army.deps.mil/netcom/sites/GEARS5/Live </t>
  </si>
  <si>
    <t>https://army.deps.mil/netcom/sites/GEARSV/Live</t>
  </si>
  <si>
    <t>Ground Risk Assessment Tool (GRAT)</t>
  </si>
  <si>
    <t>https://grat.safety.army.mil/GRAT/</t>
  </si>
  <si>
    <t>G02</t>
  </si>
  <si>
    <t>Guard Knowledge Online (GKO)</t>
  </si>
  <si>
    <t>https://gko.portal.ng.mil/SitePages/Home.aspx</t>
  </si>
  <si>
    <t>G03</t>
  </si>
  <si>
    <t>Health.mil</t>
  </si>
  <si>
    <t>https://health.mil/jmesi</t>
  </si>
  <si>
    <t>H00</t>
  </si>
  <si>
    <t>I00</t>
  </si>
  <si>
    <t>IgnitED</t>
  </si>
  <si>
    <t>I01</t>
  </si>
  <si>
    <t>Installation Support Module</t>
  </si>
  <si>
    <t>https://ism.army.mil/ism/guest/login.jsp</t>
  </si>
  <si>
    <t>I02</t>
  </si>
  <si>
    <t>I03</t>
  </si>
  <si>
    <t>iPerms</t>
  </si>
  <si>
    <t>https://iperms.hrc.army.mil/</t>
  </si>
  <si>
    <t>I04</t>
  </si>
  <si>
    <t>JAG Corps</t>
  </si>
  <si>
    <t>https://www.goarmy.com/jag.html</t>
  </si>
  <si>
    <t>J00</t>
  </si>
  <si>
    <t>JAG University</t>
  </si>
  <si>
    <t>https://jagu.army.mil/</t>
  </si>
  <si>
    <t>J01</t>
  </si>
  <si>
    <t>J02</t>
  </si>
  <si>
    <t>Joint Knowledge Online (JKO)</t>
  </si>
  <si>
    <t xml:space="preserve">https://jkodirect.jten.mil/ </t>
  </si>
  <si>
    <t>J03</t>
  </si>
  <si>
    <t>Joint Risk Assesment Tool</t>
  </si>
  <si>
    <t>https://jrat.safety.army.mil/</t>
  </si>
  <si>
    <t>Joint Service Trainscriptm (JST)</t>
  </si>
  <si>
    <t>https://jst.doded.mil/jst/</t>
  </si>
  <si>
    <t>LHI Appointment Scheduling</t>
  </si>
  <si>
    <t>https://lhi.care/start/</t>
  </si>
  <si>
    <t>L00</t>
  </si>
  <si>
    <t>Medical Operational Data System</t>
  </si>
  <si>
    <t>https://www.mods.army.mil/</t>
  </si>
  <si>
    <t>M00</t>
  </si>
  <si>
    <t>MEDLine Plus</t>
  </si>
  <si>
    <t>M01</t>
  </si>
  <si>
    <t>Medpros (ADMIN)</t>
  </si>
  <si>
    <t>https://medpros.mods.army.mil/medprosnew/</t>
  </si>
  <si>
    <t>M02</t>
  </si>
  <si>
    <t>MHS Genesis</t>
  </si>
  <si>
    <t>https://patientportal.mhsgenesis.health.mil/</t>
  </si>
  <si>
    <t>milConnect</t>
  </si>
  <si>
    <t>https://milconnect.dmdc.osd.mil/milconnect/</t>
  </si>
  <si>
    <t>M03</t>
  </si>
  <si>
    <t>MILGAMING</t>
  </si>
  <si>
    <t>https://milgaming.army.mil/</t>
  </si>
  <si>
    <t>M04</t>
  </si>
  <si>
    <t>Military OneSource</t>
  </si>
  <si>
    <t>M06</t>
  </si>
  <si>
    <t>MilitaryCAC</t>
  </si>
  <si>
    <t>https://militarycac.com/</t>
  </si>
  <si>
    <t>M05</t>
  </si>
  <si>
    <t>MilSuite</t>
  </si>
  <si>
    <t>https://www.milsuite.mil/</t>
  </si>
  <si>
    <t>M07</t>
  </si>
  <si>
    <t>MOBCOP</t>
  </si>
  <si>
    <t>https://mobcop.aoc.army.pentagon.mil/</t>
  </si>
  <si>
    <t>M08</t>
  </si>
  <si>
    <t>Mobile Digital Training Facility (MDTF)</t>
  </si>
  <si>
    <t>https://www.atis.army.mil/MDTF.html</t>
  </si>
  <si>
    <t>M09</t>
  </si>
  <si>
    <t>My Army Benefits</t>
  </si>
  <si>
    <t xml:space="preserve">https://myarmybenefits.us.army.mil/ </t>
  </si>
  <si>
    <t>M11</t>
  </si>
  <si>
    <t>My Clothing Record</t>
  </si>
  <si>
    <t>https://ism.army.mil/ism/SelfServiceServlet?nav.nav_id=ssMyClothing</t>
  </si>
  <si>
    <t>M12</t>
  </si>
  <si>
    <t>My Enlisted Record Brief (ERB)</t>
  </si>
  <si>
    <t>https://myerb.ahrs.army.mil/soldierLogin.do</t>
  </si>
  <si>
    <t>M13</t>
  </si>
  <si>
    <t>My Enlisted/Officer Record Brief (National Guard)</t>
  </si>
  <si>
    <t>https://selfservice.rcms.usar.army.mil/SelfService/home/selfservice</t>
  </si>
  <si>
    <t>M14</t>
  </si>
  <si>
    <t>My Enlisted/Officer Record Brief (Reserve)</t>
  </si>
  <si>
    <t>M15</t>
  </si>
  <si>
    <t>My MEDPROS Medical Readiness Portal</t>
  </si>
  <si>
    <t>https://medpros.mods.army.mil/portal</t>
  </si>
  <si>
    <t>M16</t>
  </si>
  <si>
    <t>MY Officer Record Brief (ORB)</t>
  </si>
  <si>
    <t>https://myorb.hrc.army.mil/</t>
  </si>
  <si>
    <t>M17</t>
  </si>
  <si>
    <t>MY RFO (Request for Orders)</t>
  </si>
  <si>
    <t>https://aim.hrc.army.mil/</t>
  </si>
  <si>
    <t>M18</t>
  </si>
  <si>
    <t>My Training Tab</t>
  </si>
  <si>
    <t>https://atiam.train.army.mil/mthp/</t>
  </si>
  <si>
    <t>M19</t>
  </si>
  <si>
    <t>MyPay</t>
  </si>
  <si>
    <t>https://mypay.dfas.mil/mypay.aspx</t>
  </si>
  <si>
    <t>M10</t>
  </si>
  <si>
    <t>NCO Leader Center for Excellence</t>
  </si>
  <si>
    <t>N00</t>
  </si>
  <si>
    <t>NCO Worldwide</t>
  </si>
  <si>
    <t>https://www.ncoworldwide.army.mil/</t>
  </si>
  <si>
    <t>Office of Personnel Management</t>
  </si>
  <si>
    <t>https://www.opm.gov/</t>
  </si>
  <si>
    <t>O00</t>
  </si>
  <si>
    <t>Preventative Maintenance Monthly (P.S. Magazine)</t>
  </si>
  <si>
    <t>https://www.psmagazine.army.mil/</t>
  </si>
  <si>
    <t>P00</t>
  </si>
  <si>
    <t>Procurement Integrated Enterprise Environment (PIEE)</t>
  </si>
  <si>
    <t>https://wawf.eb.mil/</t>
  </si>
  <si>
    <t>P01</t>
  </si>
  <si>
    <t>https://www.hrcapps.army.mil/PPW/</t>
  </si>
  <si>
    <t>P02</t>
  </si>
  <si>
    <t>Psychological Health Center of Excellence</t>
  </si>
  <si>
    <t>P03</t>
  </si>
  <si>
    <t>Risk Management Information System (RMIS)</t>
  </si>
  <si>
    <t>https://rmis.safety.army.mil/</t>
  </si>
  <si>
    <t>R00</t>
  </si>
  <si>
    <t>Service members' Group Life Insurance (SGLI)</t>
  </si>
  <si>
    <t>https://milconnect-pki.dmdc.osd.mil/milconnect/public/goto/soes</t>
  </si>
  <si>
    <t>S00</t>
  </si>
  <si>
    <t>Sexual Harassment Assault Response and Prevention</t>
  </si>
  <si>
    <t>S01</t>
  </si>
  <si>
    <t>Soldier Enhancement Program</t>
  </si>
  <si>
    <t>S02</t>
  </si>
  <si>
    <t>S03</t>
  </si>
  <si>
    <t>Supply and Maintenance Assistance Review Team (SMART)</t>
  </si>
  <si>
    <t>https://www.milsuite.mil/book/docs/DOC-101393</t>
  </si>
  <si>
    <t>S04</t>
  </si>
  <si>
    <t>Survivor OutReach Services</t>
  </si>
  <si>
    <t>https://www.armymwr.com/programs-and-services/personal-assistance/survivor-outreach</t>
  </si>
  <si>
    <t>S05</t>
  </si>
  <si>
    <t>Thrift Savings Plan</t>
  </si>
  <si>
    <t>T00</t>
  </si>
  <si>
    <t>TRADOC Application GateWay (TAG)</t>
  </si>
  <si>
    <t>https://public.tag.army.mil/catalog/tag/home</t>
  </si>
  <si>
    <t>T01</t>
  </si>
  <si>
    <t>Travel Risk Planing System (TRiPS)</t>
  </si>
  <si>
    <t>https://trips.safety.army.mil/</t>
  </si>
  <si>
    <t>T02</t>
  </si>
  <si>
    <t>Trial Defense Service</t>
  </si>
  <si>
    <t>T03</t>
  </si>
  <si>
    <t>Tricare Dental Readiness</t>
  </si>
  <si>
    <t>https://tricare.mil/CoveredServices/Dental/NGRDental/DentalReadiness</t>
  </si>
  <si>
    <t>T04</t>
  </si>
  <si>
    <t>https://tricare.mil/</t>
  </si>
  <si>
    <t>T05</t>
  </si>
  <si>
    <t>Trusted End Node Security (TENS)</t>
  </si>
  <si>
    <t>https://www.spi.dod.mil/lipose.htm</t>
  </si>
  <si>
    <t>T06</t>
  </si>
  <si>
    <t>U.S. Armed Forces Legal Assistance</t>
  </si>
  <si>
    <t>https://legalassistance.law.af.mil/</t>
  </si>
  <si>
    <t>U00</t>
  </si>
  <si>
    <t>Volunteer Management Information System (VMIS)</t>
  </si>
  <si>
    <t>https://vmis.armyfamilywebportal.com/</t>
  </si>
  <si>
    <t>V00</t>
  </si>
  <si>
    <t>Army Disaster Personnel Accountability and Assessment System (ADPAAS)</t>
  </si>
  <si>
    <t>https://adpaas.army.mil/</t>
  </si>
  <si>
    <t>https://www.ask.army.mil/ask</t>
  </si>
  <si>
    <t>https://www.fvap.gov/</t>
  </si>
  <si>
    <t>Federal Voting Assitance Program</t>
  </si>
  <si>
    <t>https://www.tricare.mil/DEERS/</t>
  </si>
  <si>
    <t>Army Acquisition Support Center</t>
  </si>
  <si>
    <t>https://asc.army.mil/web/</t>
  </si>
  <si>
    <t>https://www.cid.army.mil/</t>
  </si>
  <si>
    <t>Army Criminal Investigation Command</t>
  </si>
  <si>
    <t>Career Acquisition Management Portal</t>
  </si>
  <si>
    <t>Combined Arms Center</t>
  </si>
  <si>
    <t>https://apps.asc.army.mil/camp</t>
  </si>
  <si>
    <t>Defense Acquisition University</t>
  </si>
  <si>
    <t>https://www.dau.mil/</t>
  </si>
  <si>
    <t>Defense Civilian Personnel Data System</t>
  </si>
  <si>
    <t>https://compo.dcpds.cpms.osd.mil/</t>
  </si>
  <si>
    <t>Defense Manpower Data Center</t>
  </si>
  <si>
    <t>https://dwp.dmdc.osd.mil/dwp/app/main</t>
  </si>
  <si>
    <t>https://vios.army.mil/</t>
  </si>
  <si>
    <t>Visual Information Ordering Site</t>
  </si>
  <si>
    <t>Army Email (@army.mil)</t>
  </si>
  <si>
    <t>JavaScript varable declearion</t>
  </si>
  <si>
    <t>Army Email (@mail.mil)</t>
  </si>
  <si>
    <t>Military Auxiliary Radio System</t>
  </si>
  <si>
    <t>https://netcom.army.mil/MARS/default.aspx</t>
  </si>
  <si>
    <t>https://www.inscom.army.mil/isalute/</t>
  </si>
  <si>
    <t>iSALUTE</t>
  </si>
  <si>
    <t>DoD Automated Time Attendance and Production System</t>
  </si>
  <si>
    <t>https://ataaps.csd.disa.mil/</t>
  </si>
  <si>
    <t>NETCOM</t>
  </si>
  <si>
    <t>https://netcom.army.mil/</t>
  </si>
  <si>
    <t>https://usacac.army.mil/</t>
  </si>
  <si>
    <t>A36</t>
  </si>
  <si>
    <t>A37</t>
  </si>
  <si>
    <t>A38</t>
  </si>
  <si>
    <t>A39</t>
  </si>
  <si>
    <t>A40</t>
  </si>
  <si>
    <t>A41</t>
  </si>
  <si>
    <t>N01</t>
  </si>
  <si>
    <t>V01</t>
  </si>
  <si>
    <t>N02</t>
  </si>
  <si>
    <t>M20</t>
  </si>
  <si>
    <t>M21</t>
  </si>
  <si>
    <t>J04</t>
  </si>
  <si>
    <t>J05</t>
  </si>
  <si>
    <t>I05</t>
  </si>
  <si>
    <t>G04</t>
  </si>
  <si>
    <t>G05</t>
  </si>
  <si>
    <t>G06</t>
  </si>
  <si>
    <t>G07</t>
  </si>
  <si>
    <t>F05</t>
  </si>
  <si>
    <t>E04</t>
  </si>
  <si>
    <t>D13</t>
  </si>
  <si>
    <t>D14</t>
  </si>
  <si>
    <t>D15</t>
  </si>
  <si>
    <t>D16</t>
  </si>
  <si>
    <t>D17</t>
  </si>
  <si>
    <t>C05</t>
  </si>
  <si>
    <t>C06</t>
  </si>
  <si>
    <t>IDs</t>
  </si>
  <si>
    <t>https://cms.mods.army.mil/cms/protected/report/soldierDashboard.aspx</t>
  </si>
  <si>
    <t>S1 Net</t>
  </si>
  <si>
    <t>https://www.milsuite.mil/book/community/spaces/apf/s1net</t>
  </si>
  <si>
    <t>M22</t>
  </si>
  <si>
    <t>S06</t>
  </si>
  <si>
    <t>Army Records Information Management System (ARIMS)</t>
  </si>
  <si>
    <t>A45</t>
  </si>
  <si>
    <t>A44</t>
  </si>
  <si>
    <t>A43</t>
  </si>
  <si>
    <t>A42</t>
  </si>
  <si>
    <t>Green To Gold Access Portal</t>
  </si>
  <si>
    <t>Global Federated User Directory (GFUD)</t>
  </si>
  <si>
    <t>G08</t>
  </si>
  <si>
    <t>G09</t>
  </si>
  <si>
    <t>MyMEB</t>
  </si>
  <si>
    <t>Military Child Care</t>
  </si>
  <si>
    <t>M23</t>
  </si>
  <si>
    <t>R01</t>
  </si>
  <si>
    <t>Soldier For life</t>
  </si>
  <si>
    <t>S07</t>
  </si>
  <si>
    <t>United Services Military Apprenticeship Program (USMAP)</t>
  </si>
  <si>
    <t>U01</t>
  </si>
  <si>
    <t>Yellow Ribbon Reintegration Program (YRRP)</t>
  </si>
  <si>
    <t>Y00</t>
  </si>
  <si>
    <t>https://lt-apps-priv.dfas.mil/ucfr/</t>
  </si>
  <si>
    <t>U02</t>
  </si>
  <si>
    <t>https://gtg.usarmyrotc.com/</t>
  </si>
  <si>
    <t>https://www.arims.army.mil/arims/Login.aspx</t>
  </si>
  <si>
    <t>https://public.militarychildcare.csd.disa.mil/mccu/ui/</t>
  </si>
  <si>
    <t>https://idco.dmdc.osd.mil/idco/</t>
  </si>
  <si>
    <t>https://soldierforlife.army.mil/</t>
  </si>
  <si>
    <t>https://usmap.osd.mil/index.htm</t>
  </si>
  <si>
    <t>https://portal.apps.deas.mil/</t>
  </si>
  <si>
    <t>L01</t>
  </si>
  <si>
    <t>LandWarNet eUniversity</t>
  </si>
  <si>
    <t>https://lwn.army.mil</t>
  </si>
  <si>
    <t>Army Reserves Account Maintenance &amp; Provisioning (ARAMP)</t>
  </si>
  <si>
    <t>https://aramp.usar.army.mil/</t>
  </si>
  <si>
    <t>A46</t>
  </si>
  <si>
    <t>Transition Assistance Program (TAP)</t>
  </si>
  <si>
    <t>https://www.armyemergencyrelief.org/</t>
  </si>
  <si>
    <t>https://public.cyber.mil/pki-pke/tools-configuration-files/</t>
  </si>
  <si>
    <t>Move.Mil</t>
  </si>
  <si>
    <t>DoD Cyber Exchange (NIPR)</t>
  </si>
  <si>
    <t>https://public.cyber.mil/</t>
  </si>
  <si>
    <t>https://cyber.mil/</t>
  </si>
  <si>
    <t>https://dcips.defense.gov/</t>
  </si>
  <si>
    <t>Defense Civilian Interlligence Personnel System (DCIPS)</t>
  </si>
  <si>
    <t>Patient Portal Tricare Online</t>
  </si>
  <si>
    <t>Aircraft and Personnel Automated Clearance System (APACS)</t>
  </si>
  <si>
    <t>https://apacs.milcloud.mil/apacs/login.jsp</t>
  </si>
  <si>
    <t>Army Emergency Relief (AER)</t>
  </si>
  <si>
    <t>P05</t>
  </si>
  <si>
    <t>A47</t>
  </si>
  <si>
    <t>DoD Cyber Exchange (Public)</t>
  </si>
  <si>
    <t>D18</t>
  </si>
  <si>
    <t>D19</t>
  </si>
  <si>
    <t>D20</t>
  </si>
  <si>
    <t>D21</t>
  </si>
  <si>
    <t>M24</t>
  </si>
  <si>
    <t>https://my.move.mil/</t>
  </si>
  <si>
    <t>x</t>
  </si>
  <si>
    <t>Army 365 - Home</t>
  </si>
  <si>
    <t>Army 365 - Information Hub</t>
  </si>
  <si>
    <t>Army 365 - Teams</t>
  </si>
  <si>
    <t>Army 365 - Azure Portal</t>
  </si>
  <si>
    <t>https://armyeitaas-my.sharepoint-mil.us/</t>
  </si>
  <si>
    <t>BMC Remedy ITSM</t>
  </si>
  <si>
    <t>https://www.usa.esms.army.mil/</t>
  </si>
  <si>
    <t>https://asmis.safety.army.mil/</t>
  </si>
  <si>
    <t>https://www.usar.army.mil/DHAP/</t>
  </si>
  <si>
    <t>https://www.ncolcoe.army.mil/</t>
  </si>
  <si>
    <t>https://www.peosoldier.army.mil/SEP/</t>
  </si>
  <si>
    <t>AIRS</t>
  </si>
  <si>
    <t>https://imc.army.mil/airs/</t>
  </si>
  <si>
    <t>https://atrrs.army.mil/</t>
  </si>
  <si>
    <t>https://home.army.mil/wood/index.php/units-tenants/USACBRNS</t>
  </si>
  <si>
    <t>https://skillbridge.osd.mil/</t>
  </si>
  <si>
    <t>https://acsstaff.armyfamilywebportal.com</t>
  </si>
  <si>
    <t>https://discover.dtic.mil/</t>
  </si>
  <si>
    <t>GFEBS</t>
  </si>
  <si>
    <t>https://gfebs.army.mil/</t>
  </si>
  <si>
    <t>Army Resilience Directorate</t>
  </si>
  <si>
    <t>https://www.armyresilience.army.mil/</t>
  </si>
  <si>
    <t>https://www.tricareonline.com/</t>
  </si>
  <si>
    <t>https://rc.mods.army.mil/MHA/pdha/DHADeploymentCheck.aspx</t>
  </si>
  <si>
    <t>https://health.mil/Military-Health-Topics/Centers-of-Excellence/Psychological-Health-Center-of-Excellence</t>
  </si>
  <si>
    <t>https://icamportal.us.army.mil/</t>
  </si>
  <si>
    <t>https://arngg1.ngb.army.mil/v3/SelfService/CareerCenter/Home.aspx</t>
  </si>
  <si>
    <t>DoD Forms Management Program</t>
  </si>
  <si>
    <t>https://www.esd.whs.mil/Directives/forms/</t>
  </si>
  <si>
    <t>https://ent.ldac.army.mil/etmapp/#/etm/home</t>
  </si>
  <si>
    <t>https://www.mdwhome.mdw.army.mil/sja/trial-defense</t>
  </si>
  <si>
    <t>DoD PKI</t>
  </si>
  <si>
    <t>https://ara-5.csd.disa.mil/</t>
  </si>
  <si>
    <t>https://ara-6.csd.disa.mil/</t>
  </si>
  <si>
    <t>https://safe.apps.mil/</t>
  </si>
  <si>
    <t>https://dots.dodiis.mil/</t>
  </si>
  <si>
    <t>https://www.emh.housing.navy.mil</t>
  </si>
  <si>
    <t>FMS Web</t>
  </si>
  <si>
    <t>https://fmsweb.army.mil</t>
  </si>
  <si>
    <t>https://rfmss.belvoir.army.mil/</t>
  </si>
  <si>
    <t>https://srp.army.mil/</t>
  </si>
  <si>
    <t>https://www.cwtsatotravel.com/home.html</t>
  </si>
  <si>
    <t>Benefits.gov</t>
  </si>
  <si>
    <t>https://www.militaryonesource.mil/</t>
  </si>
  <si>
    <t>Veteran's Affairs</t>
  </si>
  <si>
    <t>Army 365 - Excel</t>
  </si>
  <si>
    <t>Army 365 - Word</t>
  </si>
  <si>
    <t>Army 365 - PowerPoint</t>
  </si>
  <si>
    <t>Tricare Interntational</t>
  </si>
  <si>
    <t>https://www.tricare-overseas.com/</t>
  </si>
  <si>
    <t>Range Facility Management Support System</t>
  </si>
  <si>
    <t>https://disa.mil/Cybersecurity/Network-Defense/Antivirus/Home-Use</t>
  </si>
  <si>
    <t>https://www.cac.mil/</t>
  </si>
  <si>
    <t>Army 365 - OneDrive</t>
  </si>
  <si>
    <t>https://hr.ippsa.army.mil/psp/hcpdc/?cmd=login</t>
  </si>
  <si>
    <t>Army 365 - Onenote</t>
  </si>
  <si>
    <t>Army 365 - Planner</t>
  </si>
  <si>
    <t>https://tasks.osi.apps.mil/armyeitaas.onmicrosoft.us/en-US/Home/Planner/</t>
  </si>
  <si>
    <t>https://mail.google.com/a/usa.army.mil</t>
  </si>
  <si>
    <t>HTML Card</t>
  </si>
  <si>
    <t>Links Listed card</t>
  </si>
  <si>
    <t>Site Settings Card</t>
  </si>
  <si>
    <t>Description</t>
  </si>
  <si>
    <t>Image Asset</t>
  </si>
  <si>
    <t>Google Work Space - Army</t>
  </si>
  <si>
    <t>https://hr.ippsa.army.mil/bi/stp/self</t>
  </si>
  <si>
    <t>https://hr.ippsa.army.mil/psc/hcpdc/EMPLOYEE/HRMS/c/IP_PHYSICAL_PROFILE.IP_PP_PHYSICAL_FL.GBL</t>
  </si>
  <si>
    <t>https://hr.ippsa.army.mil/psc/hcpdc/EMPLOYEE/HRMS/c/IP_DD93_MENU.IP_DD93_DB_FL.GBL</t>
  </si>
  <si>
    <t>https://hr.ippsa.army.mil/psc/hcpdc/EMPLOYEE/HRMS/c/IP_PROMO_ROSTER.IP_EE_PROMO_FL.GBL?pslnkid=IP_PROMOTION_POINTS_LINK</t>
  </si>
  <si>
    <t>DOD Locked</t>
  </si>
  <si>
    <t>CaC Locked</t>
  </si>
  <si>
    <t>Yes</t>
  </si>
  <si>
    <t>Air Force Weather Agency is the weather presented by the Air Force.</t>
  </si>
  <si>
    <t>Card-023.png</t>
  </si>
  <si>
    <t>Card-150.jpg</t>
  </si>
  <si>
    <t>Aircraft and Personnel Automated Clearance System (APACS) is a web-based application designed to aid DoD mission planners, aircraft operators and DoD personnel in meeting host nation aircraft diplomatic and personnel travel clearance requirements outlined in the DoD Foreign Clearance Guide.</t>
  </si>
  <si>
    <t>The Command Management System now hosts tri-service metrics gathered from various MHS and service-specific systems Carepoint, TOC, CARA, MRRS, and DMHRSi to name a few – empowering users to compare location performance, report trending, leverage customizable charting, create formatted reports, and tailor the site with favorites in a highly available, DIACAP-approved, load balanced cluster at the Pentagon as part of the MODS system.&lt;br&gt;&lt;red&gt;!ONLY WORKS ON DOD NETWORKS!</t>
  </si>
  <si>
    <t>Anti-Terrorism Enterprise Portal gives you resources on how to spot and report possible terrorist activity.</t>
  </si>
  <si>
    <t>Card-004.jpg</t>
  </si>
  <si>
    <t>Card-047.png</t>
  </si>
  <si>
    <t>The DoD Antivirus Software License Agreement from McAfee allows active DoD employees and authorized government contractors to utilize the antivirus software for personal device protection. Home use of the antivirus products will not only protect personal PCs, but will also potentially lessen the likelihood of malicious threats being introduced to the workplace and compromising DoD networks. DISA Home Use is now being offered to government employees and defense contractors with an approved .mil email address.</t>
  </si>
  <si>
    <t>Card-054.png</t>
  </si>
  <si>
    <t>Card-133.png</t>
  </si>
  <si>
    <t>Army 365, which leverages Microsoft 365 capabilities, provides the Army with an enduring capability to collaborate across the force. The system hosts a range of resources to include video and voice teleconferencing, email, instant messaging, and access to shared drives.</t>
  </si>
  <si>
    <t>Card-140.jpg</t>
  </si>
  <si>
    <t>Milsuite but with Microsoft 365.</t>
  </si>
  <si>
    <t>Card-090.png</t>
  </si>
  <si>
    <t>Card-137.png</t>
  </si>
  <si>
    <t>ReportIt is the centralized mechanism for collecting injury, illness and loss reports to help the Army meet its applicable regulatory requirements and effectively manage its safety and occupational health program. Army Safety Management Information System Revised (ASMIS‐R), is necessary to reduce accidental loss. This automated incident reporting system will meet the functional needs of both command organizations and users. It will also improve regulatory compliance by offering a single, standard, and efficient process for reporting incidents.</t>
  </si>
  <si>
    <t>Card-033.png'</t>
  </si>
  <si>
    <t>The U.S. Army Acquisition Support Center (USAASC) is a Direct Reporting Unit of the Assistant Secretary of the Army for Acquisition, Logistics, and Technology responsible for providing oversight of the Army Acquisition Corps (AAC) and the 40,000-strong Army Acquisition Workforce. USAASC supports the program executive offices in the areas of human resources, resource management (manpower and budget), program structure, and acquisition information management.</t>
  </si>
  <si>
    <t>Card-121.png</t>
  </si>
  <si>
    <t>Army Benefits Center provides advisory services and process transactions for:&lt;br&gt; - Federal Employees’ Health Benefits (FEHB)&lt;br&gt; - Federal Employees’ Group Life Insurance (FEGLI)&lt;br&gt; - Thrift Savings Plan (TSP)&lt;br&gt; - Retirement (FERS &amp; CSRS)&lt;br&gt; - Survivorship (Death Claim Processing)</t>
  </si>
  <si>
    <t>Card-048.png</t>
  </si>
  <si>
    <t>The Army Career Tracker is an Army leadership development web-based tool developed by U.S. Army Training and Doctrine Command's Institute for Non-Commissioned Officer Professional Development.</t>
  </si>
  <si>
    <t>Card-067.jpg</t>
  </si>
  <si>
    <t>The U.S. Army Combat Readiness Center preserves Army readiness through analysis, training, and the development of systems that prevent accidental loss of our people and resources.</t>
  </si>
  <si>
    <t>Card-030.png</t>
  </si>
  <si>
    <t>The Army Community Service (ACS) Staff Application serves as the primary tool for the documentation and tracking of ACS clients, cases, and other services overseen by ACS Staff Members.</t>
  </si>
  <si>
    <t>Card-012.png</t>
  </si>
  <si>
    <t>The Army COOL contain a variety of service-specific information about certifications and licenses related to military occupations. Use Army COOL to:&lt;br&gt; - get background information about civilian licensure and certification in general and specific information on individual credentials, including eligibility and testing requirements and resources to prepare for an exam.&lt;br&gt; - identify licenses and certifications relevant to individual military occupations.&lt;br&gt; - learn how to fill gaps between military training and experience and civilian credentialing requirements.&lt;br&gt; - learn about resources available to Service members that can help them gain civilian job credentials.</t>
  </si>
  <si>
    <t>Card-084.png</t>
  </si>
  <si>
    <t>It is up to the Army Criminal Investigation Command to investigate and deter serious crimes in which the Army has an interest. CID collects, analyzes, processes and disseminates criminal intelligence; conducts protective service operations; provides forensic laboratory support to all DoD investigative agencies, and maintains Army criminal records. CID also provides criminal investigative support to all U.S. Army elements and deploys on short notice in support of contingency operations worldwide.</t>
  </si>
  <si>
    <t>Card-124.png</t>
  </si>
  <si>
    <t>Army Disaster Personnel Accountability and Assessment System (ADPAAS) standardizes a method for the Army to account, assess, manage, and monitor the recovery process for personnel and their families affected and/or scattered by a wide-spread catastrophic event. ADPAAS provides valuable information to all levels of the Army chain of command, allowing commanders to make strategic decisions which facilitate a return to stability.</t>
  </si>
  <si>
    <t>Card-120.jpg</t>
  </si>
  <si>
    <t>Card-031.png</t>
  </si>
  <si>
    <t>With Army e-Learning you have access over 3,500 web-based courses in Information Technology, Business Leadership and Personal Development. These can be accessed through Skillport.</t>
  </si>
  <si>
    <t>Card-089.png</t>
  </si>
  <si>
    <t>Provides access to the Army's web mail portal for 'army.mil' web address. Use your army.mil when prompted for an email address.</t>
  </si>
  <si>
    <t>Provides access to the Army's web mail portal for 'mail.mil' web address.</t>
  </si>
  <si>
    <t>Army Emergency Relief (AER) is a private, nonprofit organization that was created to help Soldiers and their Family members who experience financial emergencies. AER provides funds to help Soldiers with immediate financial needs with rent, utilities, emergency travel, etc. You can find information or donate to them here.</t>
  </si>
  <si>
    <t>Card-146.jpg</t>
  </si>
  <si>
    <t>Card-092.png</t>
  </si>
  <si>
    <t>The Army Enterprise Service Desk is the Army's help desk. Submit a ticket through them if a web site is not working properly.</t>
  </si>
  <si>
    <t>Army Enterprise Systems Integration Program Hub improves Army information readiness and data agility by providing timely and data-relevant information to fully enable fact-based and resource-informed decision-making by Soldiers.</t>
  </si>
  <si>
    <t>Card-119.png</t>
  </si>
  <si>
    <t>G9 integrates and delivers Family and Morale, Welfare and Recreation programs and services enabling readiness and resilience for a globally-responsive Army.</t>
  </si>
  <si>
    <t>Card-055.png</t>
  </si>
  <si>
    <t>Army Family Readiness Group (FRG) is a command-sponsored organization of family members, volunteers, soldiers, and civilian employees associated with a particular unit within the United States Army, the United States Army Reserve, and the Army National Guard communities.</t>
  </si>
  <si>
    <t>Card-029.png</t>
  </si>
  <si>
    <t>ArmyFit is a web-based application that stores, tracks, and integrates data from personal fitness devices and provides feedback so users can measure their progress toward fitness objectives.</t>
  </si>
  <si>
    <t>Card-086.png</t>
  </si>
  <si>
    <t>Army Housing Online User Services is the Army's official website for Soldiers and Families to look for information regarding Army Family Housing (Privatized &amp; Government Owned), Unaccompanied Housing (UH), or Off-Post Housing. It includes detailed reference information and quick links for Army installations all over the world. Inside you will find floorplans and housing policies that pertain to your next duty station.</t>
  </si>
  <si>
    <t>Card-069.png</t>
  </si>
  <si>
    <t>Card-060.png</t>
  </si>
  <si>
    <t>Army Human Resources Command is responsible for U.S. Army Human Resources programs, processes, and services. The advantage of the combined Human Resources Command is that it enables every soldier in the U.S. Army to manage their entire career from basic training until retirement and later through one office. Most HR related links can be found scattered across their site as well as current and past milper messages.</t>
  </si>
  <si>
    <t>The Army Ideas for Innovation (AI2) is a venue for Army Soldiers and civilians to share innovative ideas and creative solutions that positively affect the Army through cost savings, increased productivity, and process improvement.</t>
  </si>
  <si>
    <t>Card-058.png</t>
  </si>
  <si>
    <t>The Army Learning Management System (ALMS) is an online training and education system for Soldiers and civilians. Through U.S. Army Training and Doctrine Command’s Combined Arms Center - Training, the ALMS increases readiness and provides training flexibility. Soldiers can achieve many training objectives online.</t>
  </si>
  <si>
    <t>Card-062.png</t>
  </si>
  <si>
    <t>The Army Maintenance Application (ArMA), allows Soldiers and their families to instantly interact with public works clerks to submit work orders instead of making walk-in appointments or phone calls.</t>
  </si>
  <si>
    <t>Card-013.png</t>
  </si>
  <si>
    <t>Card-094.png</t>
  </si>
  <si>
    <t>The Army National Guard G1 Personnel Gateway is a one-stop shop for human resource information. For Guard Soldiers and Families, the Gateway provides information on medical, educational and financial programs and benefits. The site also features deployment support and readiness resources.</t>
  </si>
  <si>
    <t>The Army Public Health Center enhances Army readiness by identifying and assessing current and emerging health threats, developing and communicating public health solutions, and assuring the quality and effectiveness of the Army's Public Health Enterprise.</t>
  </si>
  <si>
    <t>Card-057.png</t>
  </si>
  <si>
    <t>Army Publication Directorate is an online repository for all current Army Regulations, Directives, Policy and Guidance.</t>
  </si>
  <si>
    <t>Card-018.png</t>
  </si>
  <si>
    <t>Army Readiness Assessment Program (ARAP) is a Web-based resource that provides battalion-level commanders with data on their formation's readiness posture through seven categories:&lt;br&gt; - Common Core&lt;br&gt; - Organizational Processes&lt;br&gt; - Organizational Climate&lt;br&gt; - Resources&lt;br&gt; - Safety Programs&lt;br&gt; - Open Ended</t>
  </si>
  <si>
    <t>Card-074.png</t>
  </si>
  <si>
    <t>The Army Records Information Management System (ARIMS) is a role-based system managed and operated by the U.S. Army Records Management and Declassification Agency (RMDA). Its primary purpose is to provide authorized personnel with web-based tools and technology to manage both hard copy and electronic Army records. Access and use of the system is monitored to ensure security of information contained within.</t>
  </si>
  <si>
    <t>Card-001.png</t>
  </si>
  <si>
    <t>Secretary of the Army's official web page, including a biography, news, photos and videos related to the U.S. Army senior leader.</t>
  </si>
  <si>
    <t>Army SkillSoft (Skill Port)</t>
  </si>
  <si>
    <t>The Army Substance Abuse Program is an anti-substance abuse program in the United States Army, operated by the Army Center for Substance Abuse Programs.</t>
  </si>
  <si>
    <t>Card-078.png</t>
  </si>
  <si>
    <t>A quarterly publication, prepared at the Army Logistics University and published by the Army Combined Support Command at Fort Lee, Virginia. It publishes timely, authoritative information on Army and DOD sustainment plans, programs, policies, operations, procedures, and doctrine for the benefit of all Army personnel.</t>
  </si>
  <si>
    <t>Card-095.png</t>
  </si>
  <si>
    <t>Card-032.jpeg</t>
  </si>
  <si>
    <t>The Army Training and Certification Tracking System provides managers at all levels a capability to report and manage their IA Workforce and General User population training and certification statistics and a summary report of certification voucher distribution.</t>
  </si>
  <si>
    <t>The Army Training Information System is a fully automated, centralized system providing a Common Operating Picture (COP) for all Army component Soldiers, Leaders, and Civilians to plan, prepare, execute, and assess training.</t>
  </si>
  <si>
    <t>Card-052.png</t>
  </si>
  <si>
    <t>The Army Training Network (ATN) is a secure, web-based portal that provides access to training and education resources. It is the Army's primary delivery platform for training and training management: doctrine, tools, products, and services.</t>
  </si>
  <si>
    <t>Card-071.png</t>
  </si>
  <si>
    <t>The Army Training Requirements and Resources System is a system part of the United States Army that keeps a record of student participation, manages class schedules, designates class quotas, and makes seat reservations.</t>
  </si>
  <si>
    <t>Card-073.png</t>
  </si>
  <si>
    <t>The U.S. Army Veterinary Corps is a staff corps of the U.S. Army Medical Department consisting of commissioned veterinary officers and Health Professions Scholarship Program veterinary students.</t>
  </si>
  <si>
    <t>Card-000.gif</t>
  </si>
  <si>
    <t>The Assignment Satisfaction Key provides Soldiers the capability for Soldiers to get their hopes up in selecting their assignment only to have their satisfaction fully dissatisfied and their branch manager an idea of where exactly not to send them.</t>
  </si>
  <si>
    <t>Card-082.jpg</t>
  </si>
  <si>
    <t>Card-008.jpg</t>
  </si>
  <si>
    <t>The Automated Personal Clothing Request is a system for processing the DA Form 3078 electronically. It is used to request and authorize clothing bag items not issued during initial Entry Training, as well as replacements, exchanges, gratuitous issue, supplemental issue, and special issue clothing items.</t>
  </si>
  <si>
    <t>CAMP is the Career Acquisition Management Portal, housing all of the Army DACM Office Applications in one convenient location, and using a single login.</t>
  </si>
  <si>
    <t>Card-122.png</t>
  </si>
  <si>
    <t>Center for the Army Profession and Leadership (CAPL) supports the Army profession, leadership and leader development with studies, doctrine, products, services and personnel lifecycle integration in order to strengthen the Army profession and enhance leader and unit performance at all echelons.</t>
  </si>
  <si>
    <t>Card-040.png</t>
  </si>
  <si>
    <t>Central Army Registry (CAR) is your single access point to Army training resources, such as Field Manuals, Training Support Packages, Individual and Collective Tasks, Drills, Courseware and more.</t>
  </si>
  <si>
    <t>Card-096.png</t>
  </si>
  <si>
    <t>Citi Bank Commercial Cards where Soldiers can log in to see the balance and make payments to their Government Travel Credit Card (GTCC).</t>
  </si>
  <si>
    <t>Card-151.png</t>
  </si>
  <si>
    <t>The US Army Combined Arms Center (CAC) is the force modernization proponent for unified land operations, combined arms operations at echelons above brigade (Division, Corps and Theater Army), mission command, airspace control, information operations, irregular warfare, knowledge management, personnel recovery, OPSEC, military deception, security force assistance, UAP interoperability, and the Army Profession. CAC is made up of more than 34,000 Soldiers and Army Civilian Corps employees stationed throughout the United States, Europe, Korea, and SW Asia and nine centers of excellence, 20 branch schools, and seven non-branch schools. The Combined Arms Center synchronizes 37 US Army schools through Army University educating and training more than 300,000 students annually, including nearly 5,000 students from 130 separate nations and more than 10,000 sailors, airmen, and Marines from the Joint Force.</t>
  </si>
  <si>
    <t>Card-123.png</t>
  </si>
  <si>
    <t>Citi Bank (GTCC)</t>
  </si>
  <si>
    <t>https://home.cards.citidirect.com/CommercialCard/login</t>
  </si>
  <si>
    <t>C07</t>
  </si>
  <si>
    <t>Comprehensive Soldier and Family Fitness uses individual assessments, tailored virtual training, classroom training and embedded resilience experts to provide the critical skills our Soldiers, Family members and Army Civilians need.</t>
  </si>
  <si>
    <t>Card-024.png</t>
  </si>
  <si>
    <t>Computer Hardware Enterprise Software and Solutions (CHESS) is the Army's designated Primary Source for commercial IT. CHESS provides a no-fee flexible procurement strategy through which an Army user may procure commercial off the shelf (COTS) IT hardware, software and services.</t>
  </si>
  <si>
    <t>Card-070.png</t>
  </si>
  <si>
    <t>The Cyber Awareness Challenge provides an overview of cybersecurity threats and best practices to keep information and information systems secure.</t>
  </si>
  <si>
    <t>Card-093.jpg</t>
  </si>
  <si>
    <t>The Defense Acquisition University is a corporate university of the United States Department of Defense offering 'acquisition, technology, and logistics' training to military and Federal civilian staff and Federal contractors.</t>
  </si>
  <si>
    <t>The Defense Civilian Intelligence Personnel System (DCIPS) incorporates all DoD intelligence positions under a single, performance-based, mission-focused personnel management system. DCIPS serves as the common Defense Intelligence Enterprise system that helps to attract, retain, and reward the workforce needed to successfully carry out critical national security missions.</t>
  </si>
  <si>
    <t>Card-147.jpg</t>
  </si>
  <si>
    <t>The Defense Civilian Personnel Advisory Service is a multifunction, web-based civilian HR information management and transaction processing system. The core DCPDS system (based on the Oracle HR custom of the-shelf solution (COTS) product), is customized for Defense environments, and provides personnel transaction processing using Oracle Federal HR for appropriated fund, non-appropriated fund, local national and National Guard employees.</t>
  </si>
  <si>
    <t>Card-130.png</t>
  </si>
  <si>
    <t>Defense Enrollment Eligibility Reporting System (DEERS) is a computerized database for United States Service members, military retirees, 100% VA Disabled Veterans, dependents, DoD active Contractors, and others worldwide who are entitled to Public Key Infrastructure and TRICARE eligibility.</t>
  </si>
  <si>
    <t>Defense Enrollment Eligibility Readiness (DEERS)</t>
  </si>
  <si>
    <t>Card-068.png</t>
  </si>
  <si>
    <t>Defense Finance and Accounting Service (DFAS) manage the finance and accounting serves for the U.S. Army.</t>
  </si>
  <si>
    <t>Card-061.png</t>
  </si>
  <si>
    <t>Defense Information Systems Agency enable mission operations by providing assured communications through the delivery of optimized cyber infrastructure solutions for our global partners.</t>
  </si>
  <si>
    <t>The Defense Logistics Agency is the Department of Defense's combat logistics support agency. DLA provides the Army, Marine Corps, Navy, Air Force, other federal agencies and partner nation armed forces with a full spectrum of logistics, acquisition and technical services. DLA sources and provides nearly all of the consumable items America’s military forces need to operate – from food, fuel and energy to uniforms, medical supplies and construction material.</t>
  </si>
  <si>
    <t>Card-115.png</t>
  </si>
  <si>
    <t>Defense Manpower Data Center is the leader in joint information sharing and support on DoD human resource issues, the central source for identifying, authenticating, authorizing, and providing information on personnel during and after their affiliation with DoD and the one, central access point for information and assistance on DoD entitlements, benefits, and medical readiness for uniformed service members, veterans, and their families.</t>
  </si>
  <si>
    <t>Card-034.png</t>
  </si>
  <si>
    <t>The Defense Travel System (DTS) is a fully integrated, automated, end-to-end travel management system that enables DoD travelers to create authorizations (TDY travel orders), prepare reservations, receive approvals, generate travel vouchers, and receive a split reimbursement between their bank accounts and the Government Travel Charge Card (GTCC) vendor.</t>
  </si>
  <si>
    <t>Card-035.png</t>
  </si>
  <si>
    <t>Card-044.png</t>
  </si>
  <si>
    <t>The Department of the Army Photograph Management Information System (DAPMIS) is a web-enabled, e-business system that receives digitized official photographs from DOD worldwide photo studios.</t>
  </si>
  <si>
    <t>Card-002.jpg</t>
  </si>
  <si>
    <t>Card-072.png</t>
  </si>
  <si>
    <t>The Deployment Health Assessment Program (DHAP) allows you to take proactive steps to protect your health and well-being and to ensure your military readiness. DHAP provides early identification of emerging deployment related health conditions and serves as a gateway to care and treatment.</t>
  </si>
  <si>
    <t>Card-036.png</t>
  </si>
  <si>
    <t>A Digital Training Facility is a computer lab located on Army installations and Reserve sites worldwide. Units use DTFs to conduct training that improves individual and unit readiness. Using high-speed internet access, computer based training and Video Tele-Training (VTT) equipment, Soldiers and civilians can train when it fits their professional needs and personal schedules.</t>
  </si>
  <si>
    <t>Card-039.png</t>
  </si>
  <si>
    <t>Digital Training Management System (DTMS) provides streamlined access to the Individual Tasks, Collective Task Training and Evaluation Outlines (T&amp;EO), Headquarters, Department of the Army (HQDA) Standard Mission Essential Task List (METL) and Combined Arms Training Strategy (CATS) that form the building blocks for unit training and achieving readiness.</t>
  </si>
  <si>
    <t>Card-080.png</t>
  </si>
  <si>
    <t>The Automated Time Attendance and Production System (ATAAPS) is used by civilian employees to accurately record time and attendance (e.g. leave, overtime, compensatory time off, wellness), while capturing labor hours by job order.</t>
  </si>
  <si>
    <t>Card-126.png</t>
  </si>
  <si>
    <t>DoD ID Card Reference Center</t>
  </si>
  <si>
    <t>Card-015.png</t>
  </si>
  <si>
    <t>The DOD Commmon Access Card Cert repository. Use the certs her to gain access to DOD websites with your common access card. Choose the correct one for your Operating System.</t>
  </si>
  <si>
    <t>Card-145.jpg</t>
  </si>
  <si>
    <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have CAC access.</t>
  </si>
  <si>
    <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do not have CAC access.</t>
  </si>
  <si>
    <t>Card-144.jpg</t>
  </si>
  <si>
    <t>Card-143.png</t>
  </si>
  <si>
    <t>Army MWR Digital Library (Sign up at your on post library). A large free repository for eBooks, Comics, Audiobooks, TV, and Movies!</t>
  </si>
  <si>
    <t>Defense Self Service Logon makes it easy for you to access your information contained across DoD and VA partner websites. By signing up for a free account, you can view your financial and benefits information; Personally Identifiable Information (PII); personal Health Information (PHI); claim statuses and records.</t>
  </si>
  <si>
    <t>Card-007.png</t>
  </si>
  <si>
    <t>The EagleCash card is an alternative to cash, Debit cards, credit cards, and checks. EagleCash is a 'stored value card' that serves as a cash management tool. Funds are loaded to an EagleCash card, linked to the cardholder's personal account at a financial institution, using a self-service kiosk. Funds may be added or removed from the card at any time.</t>
  </si>
  <si>
    <t>Card-014.png</t>
  </si>
  <si>
    <t>eBenefits is the result of a collaboration between the Department of Veterans Affairs (VA) and the Department of Defense (DoD). We serve Veterans, Service members, Wounded Warriors, their family members, and their authorized caregivers. They offer: &lt;br&gt; A secure environment where you can safely access your personal information and perform self-service tasks.&lt;br&gt;Applications (online and PDF) for disability compensation and various benefits.&lt;br&gt; Employment resources.&lt;br&gt;A personalized Dashboard that you can customize to suit your preferences and information needs.&lt;br&gt;Access to the National Resource Directory, which enables you to find links to resource based on subjects that interest you.</t>
  </si>
  <si>
    <t>Card-051.png</t>
  </si>
  <si>
    <t>Financial Liability Investigation of Property Loss, or FLIPL, is the procedure the Army uses to recover the cost of lost or damaged property. However, in certain cases, such as the loss of personal arms or equipment, or damage to government housing, a Soldier can be held liable for the entire loss.</t>
  </si>
  <si>
    <t>Card-118.jpg</t>
  </si>
  <si>
    <t>Card-088.png</t>
  </si>
  <si>
    <t>Evaluation Entry System (EES) is the Army's forms system for Army Officer Evaluation Reports (OERs) and NonCommissioned Officer Evaluation Reports (NCOERs).</t>
  </si>
  <si>
    <t>Card-053.png</t>
  </si>
  <si>
    <t>The Federal Voting Assistance Program (FVAP) works to ensure Service members, their eligible family members, and overseas citizens are aware of their right to vote and have the tools and resources to successfully do so - from anywhere in the world.</t>
  </si>
  <si>
    <t>Card-114.png</t>
  </si>
  <si>
    <t>Federal Logistics (FED LOG) data provides users the ability to access Federal Logistics Information System (FLIS) data during instances when internet connectivity is non-available. FED LOG provides essential information about items of supply to include the National Stock Number (NSN), the Approved Item Name, Manufacturers and Distributors information (to include Part Numbers), Freight Data, Hazardous Materiel Indicators, Interchangeable and Substitutable data, Acquisition Advice Code (AAC) and Unit Price, Physical and Performance Characteristics along with service specific management data.</t>
  </si>
  <si>
    <t>Card-100.png</t>
  </si>
  <si>
    <t>FedMall is the premier government e-commerce acquisition platform providing an optimal experience for customers which include the United States military services, federal, state and authorized local governmental agencies. Customers are able to quickly search and purchase items online whatever the need may be from wherever you are.</t>
  </si>
  <si>
    <t>Card-107.png</t>
  </si>
  <si>
    <t>Financial Disclosure Management (FDM) is a secure, Army electronic filing (e-filing) system for its authorized users to file and maintain required financial interest reports anywhere via a Web browser.</t>
  </si>
  <si>
    <t>Card-020.png</t>
  </si>
  <si>
    <t>An Army System that allows users to access, compare and save unit Modification Tables of Organization and Equipment, or MTOEs. It provides multiple ways to search for information and multiple ways for the user to save the information to their systems.</t>
  </si>
  <si>
    <t>Card-098.png</t>
  </si>
  <si>
    <t>General Fund Enterprise Business Systems (GFEBS) employs a Commercial-Off-The-Shelf (COTS), web-based Enterprise Resource Planning (ERP) solution to integrate financial, real property and other asset, cost and performance data. GFEBS standardizes business processes and transactions across the active Army, the Army National Guard (ARNG) and the United States Army Reserve (USAR) at over 200 locations. GFEBS provides real-time visibility of transactions, as well as historical data, to provide an integrated, analytic foundation for decision-making.</t>
  </si>
  <si>
    <t>Card-083.png</t>
  </si>
  <si>
    <t>The Army Suicide Prevention Program (ASPP), provides resources for suicide prevention, intervention skills, and support to those impacted by the loss of a loved one to suicide to develop healthy and resilient Soldiers, reduce stigma, and build awareness of suicide and related behaviors.</t>
  </si>
  <si>
    <t>Card-005.png</t>
  </si>
  <si>
    <t>Global Combat Support System - Army (GCSS-Army) is one program with two components. The first component, GCSS-Army Enterprise Resource Planning (ERP) Solution, is an automated information system that serves as the primary tactical logistics enabler supporting Army and joint transformation for sustainment. The program re-engineers current business processes to achieve end-to-end logistics and integration with applicable command and control (C2) and joint systems. &lt;br&gt;The second component, Army Enterprise Systems Integration Program (AESIP), integrates Army business functions by providing a single source for enterprise hub services, master data and business intelligence. GCSS-Army uses Commercial Off-The-Shelf ERP software products to support rapid force projection in the battlefield functional areas of arming, fixing, fueling, sustaining and tactical logistics financial processes.</t>
  </si>
  <si>
    <t>Card-112.png</t>
  </si>
  <si>
    <t>Card-110.png</t>
  </si>
  <si>
    <t>Card-108.png</t>
  </si>
  <si>
    <t>Card-109.png</t>
  </si>
  <si>
    <t>The Green to Gold Active Duty Option Program is a two-year program that provides eligible, Active Duty enlisted Soldiers an opportunity to complete a baccalaureate degree or a two-year graduate degree and earn a commission as an Army Officer. You can apply and monitor your application here.</t>
  </si>
  <si>
    <t>Card-132.jpg</t>
  </si>
  <si>
    <t>Card-019.png</t>
  </si>
  <si>
    <t>Ground Risk Assessment Tool (GRAT) is a mission planning tool developed to augment the military decision-making process. Consisting of five integral parts, it assists users in identifying potential hazards and controls for specified ground missions or activities, both on and off duty.</t>
  </si>
  <si>
    <t>Card-099.png</t>
  </si>
  <si>
    <t>A National Guard Bureau-wide Sharepoint site allowing for document storage and collaboration.</t>
  </si>
  <si>
    <t>The Military Health System (MHS) is a form of nationalized health care operated within the United States Department of Defense that provides health care to active duty, Reserve component and retired U.S. Military personnel and their dependents.</t>
  </si>
  <si>
    <t>Card-043.png</t>
  </si>
  <si>
    <t>Identity, Credentialing and Access Management (ICAM) Portal provides account and group functions formerly provided by AKO Classic. The ICAM portal also provides EAMS-A information. This has replaced Identity Management (IDM) Portal.</t>
  </si>
  <si>
    <t>Card-066.png</t>
  </si>
  <si>
    <t>ArmyIgnitED is a tailored, intuitive resource that empowers you to achieve your educational goals. Whether you’re at home or abroad, you’ll have unlimited access to educational opportunities, support, and guidance throughout your desired Education Path, Civilian Path, Credential, or Army ROTC scholarship program. Sign up for TA or CA here</t>
  </si>
  <si>
    <t>Card-087.png</t>
  </si>
  <si>
    <t>Installation Support Modules (ISM) is standardized software applications that perform business functions at the installation level for the Army.</t>
  </si>
  <si>
    <t>Card-131.png</t>
  </si>
  <si>
    <t>A web-based human resources system that provides integrated personnel and pay capabilities and a comprehensive HR record for all Soldiers in each component.</t>
  </si>
  <si>
    <t>Card-049.png</t>
  </si>
  <si>
    <t>An online information management system used for storing and managing military personnel records. It electronically stores evaluation reports, some medical documents, college and military transcripts, awards, diplomas, and more.</t>
  </si>
  <si>
    <t>Card-027.png</t>
  </si>
  <si>
    <t>iSALUTE is an Army counterintelligence reporting program to assist in preventing espionage, sabotage, subversion, and international terrorism. The program supports the Army's counterintelligence policy established in AR 381‐12, Threat Awareness and Reporting Program</t>
  </si>
  <si>
    <t>Card-125.jpg</t>
  </si>
  <si>
    <t>The U.S. Army Judge Advocate General's Corps is a government organization that operates like a court system. Its practitioners, referred to as Judge Advocates, are licensed attorneys qualified to represent the Army and Army Soldiers in military legal matters.</t>
  </si>
  <si>
    <t>Card-010.jpg</t>
  </si>
  <si>
    <t>The online learning home of the Judge Advocate General's corps</t>
  </si>
  <si>
    <t>Card-009.png</t>
  </si>
  <si>
    <t>The Joint Improvised-Threat Defeat Organization (JIDO) is a combat support organization of the U.S. Department of Defense (DoD) organization under the Defense Threat Reduction Agency that deals with improvised threats such as the improvised explosive device (IEDs) and small unmanned aerial systems. JIDO was born from the Joint IED Defeat Organization established in 2006, which focused on IEDs. JIDO's mission is to 'enable Department of Defense actions to counter improvised threats with tactical responsiveness and anticipatory acquisition in support of combatant commanders' efforts to prepare for, and adapt to, battlefield surprise.' This mission supports counter-terrorism, counter-insurgency and other related mission areas including Counter-IED.</t>
  </si>
  <si>
    <t>Card-038.png</t>
  </si>
  <si>
    <t>JKO provides continuous, career-long development of joint knowledge and joint readiness for individuals, staffs, Combatant Commands, Combat Support Agencies, and the Services.</t>
  </si>
  <si>
    <t>Card-056.png</t>
  </si>
  <si>
    <t>The Joint Risk Assessment Tool (JRAT) is an interactive, easy-to-use, automated system designed to assist users with the application of risk management in accordance with Joint Publication 3-0, Joint Operations, and Service-specific publications.</t>
  </si>
  <si>
    <t>Card-116.png</t>
  </si>
  <si>
    <t>Card-113.png</t>
  </si>
  <si>
    <t>Joint Services Transcript is an academically accepted document approved by the American Council on Education (ACE) to validate a service members military occupational experience and training along with the corresponding ACE college credit recommendations.</t>
  </si>
  <si>
    <t>LandWarNet (LWN) is the United States Army’s contribution to the Global Information Grid that consists of all globally interconnected, end-to-end set of Army information capabilities, associated processes, and personnel for collecting, processing, storing, disseminating, and managing information on demand supporting warfighters, policy makers, and support personnel. It includes all Army (owned and leased) and leveraged Department of Defense (DOD)/Joint communications and computing systems and services, software (including applications), data security services, and other associated services. LandWarNet exists to enable the warfighter through Mission Command, previously described as Battle Command.</t>
  </si>
  <si>
    <t>Card-138.jpg</t>
  </si>
  <si>
    <t>LHI is the federal health services business of both Optum and UnitedHealth Group (NYSE: UNH). It brings together the vast resources and clinical insights of UnitedHealthcare's unique health services, along with the innovation, technology and scalability of Optum.</t>
  </si>
  <si>
    <t>Card-050.png</t>
  </si>
  <si>
    <t>Medical Operational Data System (MODS) is designed to provide the provide Army Medical Department (AMEDD) leadership with an integrated system to manage AMEDD human resources (HR), logistics, education, manpower, and Army medical readiness programs. MODS is an integrated automation system that supports all phases of the AMEDD Human Resource Life-Cycle management processes in both peacetime and mobilization.</t>
  </si>
  <si>
    <t>Card-106.png</t>
  </si>
  <si>
    <t>MedlinePlus is an online health information resource for patients and their families and friends. It is a service of the National Library of Medicine (NLM), the world's largest medical library, and a part of the National Institutes of Health (NIH).</t>
  </si>
  <si>
    <t>Card-059.png</t>
  </si>
  <si>
    <t>MEDPROS is the Army's automated database designed to meet Department of Defense requirements in maintaining unit and individual medical readiness. It is designed to provide commanders with a real-time, world-wide operational system to manage the medical readiness and deployability of their unit.</t>
  </si>
  <si>
    <t>Card-006.png</t>
  </si>
  <si>
    <t>MHS GENESIS is the new electronic health record for the Military Health System (MHS), provides enhanced, secure technology to manage your health information. MHS GENESIS integrates inpatient and outpatient solutions that will connect medical and dental information across the continuum of care, from point of injury to the military treatment facility. This includes garrison, operational, and en route care, increasing efficiencies for beneficiaries and health care professionals.</t>
  </si>
  <si>
    <t>Card-117.png</t>
  </si>
  <si>
    <t>MilConnect provides a convenient self-service portal that allows DOD affiliates and beneficiaries to manage their benefits and records, offering secure access to personal and personnel records held in the Defense Enrollment Eligibility Reporting System.</t>
  </si>
  <si>
    <t>MilGaming provides news, training events, online instruction, technical support, expert forums and training scenarios. It offers links to products such as Virtual Battlespace 2, known as VBS2, VBS2 Fires and Moral Combat.</t>
  </si>
  <si>
    <t>Card-028.png</t>
  </si>
  <si>
    <t>milWIKI</t>
  </si>
  <si>
    <t>milWiki is a knowledge management tool that any member of the milSuite community may access and edit. Subject matter experts are encouraged to contribute their experience and update information as it happens to build an encyclopedia of Department of Defense articles with the highest possible sensitivity of information being CONTROLLED UNCLASSIFIED INFORMATION.</t>
  </si>
  <si>
    <t>https://www.milsuite.mil/wiki/Main_Page</t>
  </si>
  <si>
    <t>Army Military Auxiliary Radio System is a Department of Defense sponsored program which utilizes Amateur Radio operators to contribute to the mission of the Department of the Army. Army MARS members must have access to HF radio equipment, file a monthly report, and participate a minimum of 12 hours total, including a minimum 6 hours on HF radio each quarter.</t>
  </si>
  <si>
    <t>Card-127.png</t>
  </si>
  <si>
    <t>Military OneSource is your 24/7 connection to information, answers and support to help you reach your goals, overcome challenges and thrive. As a member of our military family, you are eligible to use this Department of Defense-funded program anytime, anywhere. Military OneSource offers assistance with tax services, spouse employment help, webinars and online training, relocation and deployment tools, and much more.</t>
  </si>
  <si>
    <t>Card-063.png</t>
  </si>
  <si>
    <t>MilitaryCAC provides CAC installation assistance; Find information regarding the Department of Defense Common Access Card (CAC).</t>
  </si>
  <si>
    <t>MilitaryChildCare.com provides a gateway to comprehensive information on military-operated or military-approved child care programs worldwide.</t>
  </si>
  <si>
    <t>Card-141.png</t>
  </si>
  <si>
    <t>Card-101.png</t>
  </si>
  <si>
    <t>MilSuite provides a collection of social business tools for DOD personnel that facilitates professional networking, learning, and innovation through knowledge sharing and collaboration.</t>
  </si>
  <si>
    <t>Card-076.png</t>
  </si>
  <si>
    <t>MOBCOP is an internet site where Reserve Component Soldiers (USAR, IRR, ARNG, IMA) can find and volunteer for active duty tours. Any command that has positions or missions that could be filled by a RC Soldier can post those jobs on Tour of Duty. TOD allows commands to build and validate their positions so the vacancies can be searched by Soldiers seeking active duty. The positions in TOD must be validated by the command that owns the position or mission before they can be listed. Soldiers can find positions that match their grade and skills and then request the hiring command consider them for the job.</t>
  </si>
  <si>
    <t>Card-105.png</t>
  </si>
  <si>
    <t>Card-017.png</t>
  </si>
  <si>
    <t>This is a new system from USTRANSCOM to support the relocation of families during PCS. Right now, use of this system is by invitation only.</t>
  </si>
  <si>
    <t>Card-149.png</t>
  </si>
  <si>
    <t>MyArmyBenefits is the Official Army Benefits Website. Forecast Your Retirement Benefits. Calculate Estimates of Your Survivor and Survivor Education Benefits. Browse Over 150 Fact Sheets for Benefit Eligibility and Highlights.</t>
  </si>
  <si>
    <t>An online portal allowing Soldiers to manage their organizational clothing and individual equipment</t>
  </si>
  <si>
    <t>The Soldier Record Brief (SRB/ORB/ERB) is a new multi‐Component report that provides a snapshot of a Soldier's military career information. It details a Soldiers career in the military by listing all courses taken, duty stations, ASVAB scores and much more!</t>
  </si>
  <si>
    <t>Card-081.jpeg</t>
  </si>
  <si>
    <t>MyMEB was developed by medical, information-management and administrative specialists to address a perceived need for Soldiers to know more about the MEB process and how it affects them.</t>
  </si>
  <si>
    <t>Assignment Interactive Module 2.0 (AIM 2) is a web based information system designed to enhance the effectiveness and efficiency of the officer management process, and facilitate communication between Soldiers (e.g. officers &amp; warrant officers with talents), Units (e.g. commanders with requirements) and the Officer Personnel Management Directorate (OPMD)</t>
  </si>
  <si>
    <t>Card-025.jpeg</t>
  </si>
  <si>
    <t>My Training Tab (MT2) original available to users at Army Knowledge Online (AKO) , pulls together all web-based training resources on a single, customizable page. Still functional after AKOs was taken down.</t>
  </si>
  <si>
    <t>Card-042.png</t>
  </si>
  <si>
    <t>The Defense Department's online payroll and accounting system, providing access to view one's pay account, view travel claims, make changes to withholding and allotments, and chance Thrift Savings Plan contributions.</t>
  </si>
  <si>
    <t>Card-045.png</t>
  </si>
  <si>
    <t>NCO Leader Center for Excellence provides professional military education that develops holistically fit, disciplined, well-educated professionals capable of meeting the challenges of large-scale combat operations in a multi-domain environment.</t>
  </si>
  <si>
    <t>Card-003.jpg</t>
  </si>
  <si>
    <t>NCO Worldwide is an academic portal is to design a student centric, centralized, web-based educational platform to enhance the lifelong learning experience for Soldiers across the globe.</t>
  </si>
  <si>
    <t>NETCOM leads global operations for the Army's portion of the DODIN, ensuring freedom of action in cyberspace while denying the same to our adversaries.</t>
  </si>
  <si>
    <t>Card-111.png</t>
  </si>
  <si>
    <t>Card-128.png</t>
  </si>
  <si>
    <t>The U.S. Office of Personnel Management (OPM) serves as the chief human resources agency and personnel policy manager for the Federal Government. OPM provides human resources leadership and support to Federal agencies and helps the Federal workforce achieve their aspirations as they serve the American people. OPM directs human resources and employee management services, administers retirement benefits, manages healthcare and insurance programs, oversees merit-based and inclusive hiring into the civil service, and provides a secure employment process.</t>
  </si>
  <si>
    <t>Card-102.png</t>
  </si>
  <si>
    <t>Patient Portal Tricare Online is a part of the MHS GENESIS (MHSG) system. MHSG is the new electronic health record for the Military Health System (MHS) and provides enhanced, secure technology to manage your health information. MHSG integrates inpatient and outpatient solutions that will connect medical and dental information across the continuum of care, from point of injury to the military treatment facility.</t>
  </si>
  <si>
    <t>Card-148.png</t>
  </si>
  <si>
    <t>Preventative Maintenance Monthly is intended to enhance materiel readiness by emphasizing preventive maintenance and promoting proper maintenance and supply procedures. Review of PS Magazine will be a regular part of unit readiness initiatives. A reader service is available to answer maintenance and supply questions.</t>
  </si>
  <si>
    <t>Card-104.jpg</t>
  </si>
  <si>
    <t>The Procurement Integrated Enterprise Environment (PIEE) is the primary enterprise procure-to-pay (P2P) application for the Department of Defense and its supporting agencies and is trusted by companies reporting over $7.1 billion in spending.</t>
  </si>
  <si>
    <t>Card-103.png</t>
  </si>
  <si>
    <t>Pulls your Promotion Point Worksheet from HRC. The Promotion Point Worksheet displays your current promotion point brake down for promotions to SGT and SSG.</t>
  </si>
  <si>
    <t>The Protected Internet eXchange (PiX), is a US government-sponsored program to assist with unclassified information sharing among US government agencies and military, as well as with foreign partners. PiX helps people working on similar problem sets connect with each other in a secure space.</t>
  </si>
  <si>
    <t>Card-136.png</t>
  </si>
  <si>
    <t>The Psychological Health Center of Excellence (PHCoE) is one of the Centers of Excellence within the Research and Development Directorate of the Defense Health Agency (DHA). PHCoE collaborates across the Department of Defense (DOD) and with the Department of Veterans Affairs and other agencies to provide leadership and expertise to inform policy and drive improvements in psychological health outcomes.</t>
  </si>
  <si>
    <t>Card-077.png</t>
  </si>
  <si>
    <t>P04</t>
  </si>
  <si>
    <t>Protected Internet eXchange (PiX)</t>
  </si>
  <si>
    <t>https://pixtoday.net/</t>
  </si>
  <si>
    <t>A risk management information system (RMIS) is an information system that assists in consolidating property values, claims, policy, and exposure information and providing the tracking and management reporting capabilities to enable the user to monitor and control the overall cost of risk management.</t>
  </si>
  <si>
    <t>Card-079.png</t>
  </si>
  <si>
    <t>Card-142.jpg</t>
  </si>
  <si>
    <t>RAPIDS ID Card Office allows you to schedule any CAC or ID card services appointment as well as manage some of your CAC information (Such as current address).</t>
  </si>
  <si>
    <t>S1Net connects HR professionals with a common focus of solving critical problems faced by the professional in the field, and in doing so, develop and archive the tools, insights and approaches needed by members.</t>
  </si>
  <si>
    <t>Service Members’ Group Life Insurance (SGLI) offers low-cost term coverage to eligible service members. If you’re a service member who meets certain criteria, we’ll automatically sign you up. You are automatically insured for the maximum coverage of $400,000, unless you have reduced, canceled, or declined coverage.</t>
  </si>
  <si>
    <t>The Army's Sexual Harassment/Assault Response and Prevention program, known as SHARP, exists so the Army can prevent sexual harassment and sexual assaults before they occur. Their goal is to eliminate sexual assaults and sexual harassment by creating a climate that respects the dignity of every member of the Army family. Additionally, they strive to:&lt;br&gt;1) Reduce the stigma of reporting&lt;br&gt;2) Protect the victim&lt;br&gt;3) Increase prevention, investigation, prosecution and victim care capabilities&lt;br&gt;4) Increase training and resources&lt;br&gt;5) Refine and sustain response capability</t>
  </si>
  <si>
    <t>Card-064.png</t>
  </si>
  <si>
    <t>The Soldier Enhancement Program (SEP) is an enduring process designed to help the Army move at 'the Speed of Industry' to evaluate and type classify existing prototypes or commercially available items that will enhance Soldiers' ability to execute their combat mission.</t>
  </si>
  <si>
    <t>Card-046.png</t>
  </si>
  <si>
    <t>The latest news, images, videos, career information, and links from US Army Soldier For Life.</t>
  </si>
  <si>
    <t>Card-135.png</t>
  </si>
  <si>
    <t>Supply and Maintenance Assistance Review Team (SMART) is made to streamline and improve unit level logistics support through a single source logistics suggestion program. Submit a suggestion with them to receive help on unit level logistics.</t>
  </si>
  <si>
    <t>Card-011.jpg</t>
  </si>
  <si>
    <t>Survivor Outreach Services is part of the Army Casualty Continuum of Care. It’s designed to provide long-term support to surviving Families of Fallen Soldiers. Their goal is to reassure Survivors that they remain valued members of the Army Family.</t>
  </si>
  <si>
    <t>Army Transition Assistance Program (TAP) is a Commander’s Program and a Soldier’s responsibility.</t>
  </si>
  <si>
    <t>Card-097.png</t>
  </si>
  <si>
    <t>The TRADOC Application Gateway (TAG) is a site to host and track mobile apps. The TAG offers both Public and restricted access to apps and iBooks. Mobile applications public and restricted appear on the TAG.</t>
  </si>
  <si>
    <t>Card-041.png</t>
  </si>
  <si>
    <t>Travel Risk Planing System is an online, survey-style risk-assessment tool that helps service members recognize and manage the risks they face while driving long distances. When a risk assessment is submitted, the designated supervisor receives an email informing him or her that there is a risk assessment to review.</t>
  </si>
  <si>
    <t>Card-016.png</t>
  </si>
  <si>
    <t>The United States Army Trial Defense Service’s mission is to provide a full-range of defense legal services to Soldiers. These services include:&lt;br&gt;Representing Soldiers charged with violations of the Uniform Code of Military Justice (UCMJ) at courts-martial and Article 32 pretrial investigations;&lt;br&gt;Representing Soldiers during criminal investigations and before elimination or grade reduction boards;&lt;br&gt;Counseling Soldiers regarding pretrial restraint, nonjudicial punishment (Article 15s), and various adverse administrative actions taken pursuant to military regulations.</t>
  </si>
  <si>
    <t>Card-021.png</t>
  </si>
  <si>
    <t>Card-065.png</t>
  </si>
  <si>
    <t>TRICARE is the health care program for uniformed service members, retirees, and their families around the world. TRICARE provides comprehensive coverage to all beneficiaries, including: Health plans, Special programs, Prescriptions, Dental plans.</t>
  </si>
  <si>
    <t>Tricare Online</t>
  </si>
  <si>
    <t>Trusted End Node Security (TENS) creates a secure end node from trusted media on almost any Intel-based computer (PC or Mac). TENS boots a thin Linux operating system from removable media without mounting a local hard drive. Administrator privileges are not required; nothing is installed. TENS turns an untrusted system (such as a home computer) into a trusted network client. No trace of work activity or malware can be written to the local computer. Simply plug in your USB smart card reader to access CAC and PIV-restricted US government websites.</t>
  </si>
  <si>
    <t>Card-091.png</t>
  </si>
  <si>
    <t>U.S. Armed Forces Legal Assistance (AFLASS) will locate all legal offices and their contact information on military posts.</t>
  </si>
  <si>
    <t>Card-075.png</t>
  </si>
  <si>
    <t>Unit Commander’s Finance Report (UCFR) is an extremely valuable management tool provided to unit commanders once a month. The report provides the unit commander a one-line rollup of a Soldier's monthly pay account status making it easier to review the Soldier's pay. All available documents in the battalion S-1 or the unit PAC should be used to verify data on the UCFR (e.g. unit rosters, AAA-162 Unit Personnel Accountability Report, (eMILPO), DA Form 4187s, AWOL files, Article15 files, etc.).</t>
  </si>
  <si>
    <t>The United Services Military Apprenticeship Program (USMAP) is a formal military training program that provides U.S. Army, Navy, Air Force, Marine Corps, Coast Guard, reserve and guard members the opportunity to improve their job skills and to achieve recognition for military service member equal to his/her civilian counterpart.</t>
  </si>
  <si>
    <t>Card-139.png</t>
  </si>
  <si>
    <t>Visual Information Ordering Site is used to set up an appointment to have a DA Photo taken.</t>
  </si>
  <si>
    <t>Card-129.png</t>
  </si>
  <si>
    <t>The Volunteer Management Information System (VMIS) assists the Army Volunteer Corps and Organization Point of Contact (OPOC) in managing these dedicated volunteers and allows volunteers a way track their hours, awards, trainings and certificates. Volunteers can apply for volunteer opportunities, record and track volunteer hours, and manage their volunteer service record.</t>
  </si>
  <si>
    <t>Card-085.jpg</t>
  </si>
  <si>
    <t>The Yellow Ribbon Reintegration Program (YRRP) is a Department of Defense-wide effort to promote the well-being of National Guard and Reserve members, their families and communities by connecting them with valuable resources.</t>
  </si>
  <si>
    <t>Card-134.png</t>
  </si>
  <si>
    <t>Army 365 - Azure, is Microsoft's public cloud computing platform. It provides a range of cloud services, including compute, analytics, storage and networking. Please note that not all Soldier will have access to this.</t>
  </si>
  <si>
    <t>Army 365 - Excel, a spreadsheet developed by Microsoft for Windows, macOS, Android and iOS. It features calculation or computation capabilities, graphing tools, pivot tables, and a macro programming language called Visual Basic for Applications. Excel forms part of the Microsoft Office suite of software</t>
  </si>
  <si>
    <t>Army 365 - OneDrive, Anywhere access. Easily store, access, and discover your individual and shared work files in Microsoft 365, including Microsoft Teams, from all your devices.</t>
  </si>
  <si>
    <t>Army 365 - OneNote, a digital note-taking app that provides a single place for keeping all of your notes, research, plans, and information — everything you need to remember and manage in your life at home, at work, or at school. In OneNote, notebooks never run out of paper.</t>
  </si>
  <si>
    <t>Army 365 - PowerPoint, a presentation program, created by Robert Gaskins and Dennis Austin at a software company named Forethought, Inc. It was released on April 20, 1987, initially for Macintosh computers only. Microsoft acquired PowerPoint for about $14 million three months after it appeared.</t>
  </si>
  <si>
    <t>Army 365 - Planner, a planning application available on the Microsoft 365 platform. The application is available to premium, business, and educational subscribers to Microsoft 365. Microsoft Planner is a team-work oriented tool that can be used in a variety of ways.</t>
  </si>
  <si>
    <t>Army 365 - Word, a word processing software developed by Microsoft. It was first released on October 25, 1983, under the name Multi-Tool Word for Xenix systems.</t>
  </si>
  <si>
    <t>Identity, Credentialing and Access Management (ICAM) Portal</t>
  </si>
  <si>
    <t>Army Enterprise Systems Integration Program (AESIP)</t>
  </si>
  <si>
    <t>Army Virtiual Soldier and Family Readiness Group (VSFRG)</t>
  </si>
  <si>
    <t>Army Safety Management Information System (ASMIS) 2.0</t>
  </si>
  <si>
    <t>U.S. Army CBRN School</t>
  </si>
  <si>
    <t>Ready Army</t>
  </si>
  <si>
    <t>https://ready.army.mil/</t>
  </si>
  <si>
    <t>DD Form 93 Dashboard (IPPS-A)</t>
  </si>
  <si>
    <t>Sustainable Range Program (SRP) Portal</t>
  </si>
  <si>
    <t>RAPIDS ID Card Office</t>
  </si>
  <si>
    <t>The Mobile Digital Training Facility (MDTF) is a wireless networked classroom of 10 notebook PCs designed to be connected to the unit's local wireless network for use wherever and whenever access to distributed learning is needed. It will deliver individual and collective training to Soldiers and DA Civilians anywhere and anytime.</t>
  </si>
  <si>
    <t>https://benefits.gov/</t>
  </si>
  <si>
    <t>MEDPROS Medical Health Assestment (MHA)</t>
  </si>
  <si>
    <t xml:space="preserve">MEDPROS Medical Health Assestment (MHA) alows you to complete periodic health assesments, pre-deployment, post-deployment, post-deployment reassesment and mental health assessment forms. </t>
  </si>
  <si>
    <t>American Red Cross</t>
  </si>
  <si>
    <t>American Red Cross Message</t>
  </si>
  <si>
    <t>https://redcross.org/get-help/military-families/emergency-communication.html</t>
  </si>
  <si>
    <t>https://redcross.org/</t>
  </si>
  <si>
    <t>https://yellowribbon.mil/</t>
  </si>
  <si>
    <t>https://va.gov/</t>
  </si>
  <si>
    <t>https://tsp.gov/</t>
  </si>
  <si>
    <t>https://ig.army.mil/</t>
  </si>
  <si>
    <t>Department of the Army Inspector General</t>
  </si>
  <si>
    <t>Department of the Defencse Inspector General</t>
  </si>
  <si>
    <t>https://www.dodig.mil/</t>
  </si>
  <si>
    <t>No</t>
  </si>
  <si>
    <t>Enlisted Trend Report (E5-E6)</t>
  </si>
  <si>
    <t>https://www.hrc.army.mil/content/Officer%20and%20WO%20Selections%20and%20Promotions</t>
  </si>
  <si>
    <t>https://www.hrc.army.mil/content/Enlisted%20Promotions</t>
  </si>
  <si>
    <t>Officer and Warrant Officer Promotions</t>
  </si>
  <si>
    <t>Enlisted Promotions</t>
  </si>
  <si>
    <t>https://www.hrc.army.mil/content/Sergeant%20and%20Staff%20Sergeant%20Eligibles%20Trend%20Report</t>
  </si>
  <si>
    <t>The American Red Cross, also known as the American National Red Cross, is a non-profit humanitarian organization that provides emergency assistance, disaster relief, and disaster preparedness education in the United States.</t>
  </si>
  <si>
    <t>In the event of a family emergancy, the American Red Cross can issue a red cross message to the unit of a service member. You can find out how to apply for one or submit one here.</t>
  </si>
  <si>
    <t>The Office of the Inspector General serves to "provide impartial, objective and unbiased advice and oversight to the Army through relevant, timely and thorough inspection, assistance, investigations, and training." The position has existed since 1777, when Thomas Conway was appointed the first inspector.</t>
  </si>
  <si>
    <r>
      <t xml:space="preserve">DoD OIG </t>
    </r>
    <r>
      <rPr>
        <b/>
        <sz val="11"/>
        <color theme="1"/>
        <rFont val="Arial"/>
      </rPr>
      <t>combats fraud, waste and abuse in the Department of Defense by conducting audits, investigations and evaluations</t>
    </r>
    <r>
      <rPr>
        <sz val="11"/>
        <color theme="1"/>
        <rFont val="Arial"/>
      </rPr>
      <t>. In addition, the Inspector General ensures the Secretary of Defense and the Congress are fully informed of problems in the Department</t>
    </r>
  </si>
  <si>
    <t>Site Settings JavaScript</t>
  </si>
  <si>
    <t>enterprise Military Housing</t>
  </si>
  <si>
    <t>The Enterprise Military Housing System (eMH) includes a public web site (HOMES.mil) which collects information needed to facilitate military personnel searching for suitable community rental housing within close proximity to military installations.</t>
  </si>
  <si>
    <t>Official Website of the Army Resilience Directorate. The mission of the Army Resilience Directorate is to provide policy, resources, and capabilities for individuals and leaders in order to increase resilience and readiness through the prevention of suicide, sexual harassment, sexual assault, and substance abuse.</t>
  </si>
  <si>
    <t xml:space="preserve">The USACBRNS will design, acquire, and build the Army's future CBRN capability, and constantly improve it using the DOTMLPF process to ensure the Army is postured to Fight and Win in a CBRN Environment. </t>
  </si>
  <si>
    <t>CWT Sato Travel</t>
  </si>
  <si>
    <t>Whether you are on a routine trip or a deployment to handle an emergency response, CWTSatoTravel will make sure you get where you need to be in an efficient and cost-effective manner. Plus you have to use it.</t>
  </si>
  <si>
    <t>The DOD SkillBridge program is an opportunity for Service members to gain valuable civilian work experience through specific industry training, apprenticeships, or internships during the last 180 days of service. SkillBridge connects Service members with industry partners in real-world job experiences.</t>
  </si>
  <si>
    <t>Defense Technical Information Center</t>
  </si>
  <si>
    <t>The Defense Technical Information Center operates under the leadership of the Secretary of Defense and reports to the Under Secretary of Defense for Research and Engineering USD(R&amp;E).  DTIC supports the USD(R&amp;E)’s efforts to mitigate new and emerging threat capabilities, enable affordable or extended capabilities in existing military systems, and develop technology surprise.</t>
  </si>
  <si>
    <t>The Sustainable Range Program, is the Army's overall approach for improving the way in which it designs, manages, and uses its ranges. SRP's goal is to maximize capability, availability, and accessibility of ranges and training lands.</t>
  </si>
  <si>
    <t xml:space="preserve">It’s the Department of Veteran's Affairs. </t>
  </si>
  <si>
    <t>Army Publication Directorate</t>
  </si>
  <si>
    <t>https://usarmy.percipio.com/login?state=%2F#/</t>
  </si>
  <si>
    <t>Legacy</t>
  </si>
  <si>
    <t>https://www.armytap.army.mil/</t>
  </si>
  <si>
    <t>https://www.armyresilience.army.mil/sharp/</t>
  </si>
  <si>
    <t>DOD CAC Overview</t>
  </si>
  <si>
    <t>https://medlineplus.gov/n</t>
  </si>
  <si>
    <t>https://www.dtra.mil/</t>
  </si>
  <si>
    <t>Defense Threat Reduction Agency</t>
  </si>
  <si>
    <t>Integrated Personnel and Pay System Army&lt;br&gt;(IPPS-A)</t>
  </si>
  <si>
    <t>https://www.armyignited.army.mil/student/</t>
  </si>
  <si>
    <t>DoD SAFE is a web-based tool that provides authenticated DoD CAC users and guests (unauthenticated users) the capability to securely send and receive large files, including files that are too large to be transmitted via email.</t>
  </si>
  <si>
    <t>https://www.armyresilience.army.mil/suicide-prevention/index.html</t>
  </si>
  <si>
    <t>Logistics Data Analysis Center</t>
  </si>
  <si>
    <t>T07</t>
  </si>
  <si>
    <t>A48</t>
  </si>
  <si>
    <t>B00</t>
  </si>
  <si>
    <t>B01</t>
  </si>
  <si>
    <t>C08</t>
  </si>
  <si>
    <t>D22</t>
  </si>
  <si>
    <t>E05</t>
  </si>
  <si>
    <t>F06</t>
  </si>
  <si>
    <t>G10</t>
  </si>
  <si>
    <t>L02</t>
  </si>
  <si>
    <t>M25</t>
  </si>
  <si>
    <t>O01</t>
  </si>
  <si>
    <t>P06</t>
  </si>
  <si>
    <t>R02</t>
  </si>
  <si>
    <t>R03</t>
  </si>
  <si>
    <t>S08</t>
  </si>
  <si>
    <t>DoD SkillBridge</t>
  </si>
  <si>
    <t>Dredging Operations Technical Support&lt;br&gt;(DOTS)</t>
  </si>
  <si>
    <t>DoD Secure Access File Exchange&lt;br&gt;(SAFE)</t>
  </si>
  <si>
    <t>Digital Training Management System&lt;br&gt;(DTMS)</t>
  </si>
  <si>
    <t>Unit Commander’s Finance Repor&lt;br&gt;(UCFR)</t>
  </si>
  <si>
    <t>My Soldier Talent Profile&lt;br&gt;(IPPS-A)</t>
  </si>
  <si>
    <t>My Physical Profile&lt;br&gt;(IPPS-A)</t>
  </si>
  <si>
    <t>My Leave Dashboard&lt;br&gt;(IPPS-A)</t>
  </si>
  <si>
    <t>Card-167.png</t>
  </si>
  <si>
    <t>Card-166.png</t>
  </si>
  <si>
    <t>Card-165.png</t>
  </si>
  <si>
    <t>Card-163.png</t>
  </si>
  <si>
    <t>Card-164.png</t>
  </si>
  <si>
    <t>Card-161.png</t>
  </si>
  <si>
    <t>Card-160.png</t>
  </si>
  <si>
    <t>Card-159.png</t>
  </si>
  <si>
    <t>Card-155.png</t>
  </si>
  <si>
    <t>Card-156.png</t>
  </si>
  <si>
    <t>Card-158.png</t>
  </si>
  <si>
    <t>Card-162.png</t>
  </si>
  <si>
    <t>Card-154.png</t>
  </si>
  <si>
    <t>Card-153.png</t>
  </si>
  <si>
    <t>Card-171.png</t>
  </si>
  <si>
    <t>Card-168.png</t>
  </si>
  <si>
    <t>Card-169.png</t>
  </si>
  <si>
    <t>Card-170.png</t>
  </si>
  <si>
    <t>Benefits.gov is an online resource to help you find federal benefits you may be eligible for in the United States.</t>
  </si>
  <si>
    <r>
      <t>Ready Army</t>
    </r>
    <r>
      <rPr>
        <sz val="11"/>
        <color theme="1"/>
        <rFont val="Arial"/>
      </rPr>
      <t xml:space="preserve"> seeks to inform the Army community of all hazards and to provide targeted preparedness information to Soldiers, their Families, Civilians and contractors worldwide.</t>
    </r>
  </si>
  <si>
    <t>The TRICARE Overseas Program (TOP) is the DOD’s health care program for Active Duty Service Members, Active Duty Family Members, and other eligible beneficiaries in geographical areas and waters outside of the U.S. International SOS is proud to support the U.S. military and their families overseas, ensuring quality health care no matter where their work or travels take them.</t>
  </si>
  <si>
    <t>The Range Facility management Support System provide users with a non-graphical remote scheduling tool that interfaces directly with RFMSS at fielded RFMSS sites. RFMSS allows determine facility availability, submit and view scheduling requests and read published Range Bulletins. Current schedules and conflicts are displayed in the Two-Week view.</t>
  </si>
  <si>
    <t>The DD93 or DD Form 93 is used to record the name of the person or persons, if any, other than the member's primary next of kin or immediate family, to whom information on the whereabouts and status of the member shall be provided if the member is placed in a missing status.</t>
  </si>
  <si>
    <t>The Trend Report shows how many soldiers are each promotion point bracket. This is usefull to gadge where you are on the order of merit list.</t>
  </si>
  <si>
    <t xml:space="preserve">My Leave Dashboard is IPPS-A's answer to submitting leave online. </t>
  </si>
  <si>
    <t>My Physical Profile allows soldier to view their current profile online.</t>
  </si>
  <si>
    <t>HRC's enlisted promotions page. Go here to find out the details on the enlisted promotion process.</t>
  </si>
  <si>
    <t>HRC's Officer and Warrant Officer promotions page. Go here to find out the details on the Officer and Warrant Officer promotion process.</t>
  </si>
  <si>
    <t>The Soldier Talent Profile is the IPPS-A SRB. It provides a new multi‐Component report that provides a snapshot of a Soldier's military career information. It details a Soldiers career in the military by listing all courses taken, duty stations, ASVAB scores and much more!</t>
  </si>
  <si>
    <t xml:space="preserve">Army Reserves Account Maintenance &amp; Provisioning gives you access to Army Reserves Network (ARNET). </t>
  </si>
  <si>
    <t>DOTS Allows for sending files/email to classifed networks.</t>
  </si>
  <si>
    <t>Promotion Point Worksheet&lt;br&gt;(IPPS-A)</t>
  </si>
  <si>
    <t>Promotion Point Worksheet&lt;br&gt;(Legacy)</t>
  </si>
  <si>
    <t xml:space="preserve">ASMIS 2.0 will provide capabilities to support the five core activities of Army SOH:&lt;br&gt;   Hazards Management&lt;br&gt;   Mishap and Near Miss Reporting&lt;br&gt;   Inspections, Surveys, and Assessments&lt;br&gt;   SOH Education and Training&lt;br&gt;   SOH Program Management&lt;br&gt;Furthermore, ASMIS 2.0 will provide a framework of people, processes, and technology to integrate, synchronize and optimize Army SOH capabilities to create a culture where Safety and Occupational Health are enablers of Army readiness and quality of life. </t>
  </si>
  <si>
    <t>The Thrift Savings Plan (TSP) is a retirement savings and investment plan for Federal employees and members of the uniformed services, including the Ready Reserve. It was established by Congress in the Federal Employees’ Retirement System Act of 1986 and offers the same types of savings and tax benefits that many private corporations offer their employees under 401(k) plans. The program provides transition assistance services to eligible Soldiers with at least 180 or more continuous days of Title 10 active duty service, except for those in a training status. TAP helps all eligible transitioning Soldiers discover knowledge, skills, and resources necessary to be competitive and successful in the global workforce. TAP helps Soldiers make informed career decisions through counseling and employment assistance, building upon lessons learned in the Initial and Service phases of the Soldier Life Cycle.</t>
  </si>
  <si>
    <t>The Deployed Digital Training Campus is a deployable networked classroom enabling group or individual instruction through Video Tele-training (VTT), interactive multi-media (IMI), web-based instruction, individual collaboration, and professional development training.&lt;br&gt;This is includes access to current Distributed Learning (DL) products and constructive simulations.&lt;br&gt;The DDTC provides a means for the current institutional training base to deliver proponent approved dL training products and services to deployed forces worldwide and to provide a flexible means to meet surge training requirements to deploying or redeploying forces.</t>
  </si>
  <si>
    <t>A49</t>
  </si>
  <si>
    <t>A50</t>
  </si>
  <si>
    <t>A51</t>
  </si>
  <si>
    <t>A52</t>
  </si>
  <si>
    <t>A53</t>
  </si>
  <si>
    <t>A54</t>
  </si>
  <si>
    <t>A55</t>
  </si>
  <si>
    <t>A56</t>
  </si>
  <si>
    <t>A57</t>
  </si>
  <si>
    <t>A58</t>
  </si>
  <si>
    <t>D23</t>
  </si>
  <si>
    <t>D24</t>
  </si>
  <si>
    <t>D25</t>
  </si>
  <si>
    <t>D26</t>
  </si>
  <si>
    <t>D27</t>
  </si>
  <si>
    <t>D28</t>
  </si>
  <si>
    <t>E06</t>
  </si>
  <si>
    <t>E07</t>
  </si>
  <si>
    <t>D29</t>
  </si>
  <si>
    <t>D30</t>
  </si>
  <si>
    <t>D31</t>
  </si>
  <si>
    <t>M26</t>
  </si>
  <si>
    <t>M27</t>
  </si>
  <si>
    <t>M28</t>
  </si>
  <si>
    <t>M29</t>
  </si>
  <si>
    <t>Card-037.png</t>
  </si>
  <si>
    <t>Card-172.png</t>
  </si>
  <si>
    <t>Card Title</t>
  </si>
  <si>
    <t>Digital Training Management System (DTMS)</t>
  </si>
  <si>
    <t>DoD Secure Access File Exchange (SAFE)</t>
  </si>
  <si>
    <t>Dredging Operations Technical Support (DOTS)</t>
  </si>
  <si>
    <t>My Leave Dashboard (IPPS-A)</t>
  </si>
  <si>
    <t>My Physical Profile (IPPS-A)</t>
  </si>
  <si>
    <t>My Soldier Talent Profile (IPPS-A)</t>
  </si>
  <si>
    <t>Promotion Point Worksheet (IPPS-A)</t>
  </si>
  <si>
    <t>Promotion Point Worksheet (Legacy)</t>
  </si>
  <si>
    <t>Unit Commander’s Finance Report (UCFR)</t>
  </si>
  <si>
    <t>https://arngg1.ngb.army.mil/v3/SelfService/Careercenter/RBMain.aspx</t>
  </si>
  <si>
    <t>https://teams.microsoft.com/?domain_hint=army.mil</t>
  </si>
  <si>
    <t>https://www.ohome.apps.mil/launch/excel?domain_hint=army.mil</t>
  </si>
  <si>
    <t>https://portal.azure.us/?domain_hint=army.mil</t>
  </si>
  <si>
    <t>https://www.ohome.apps.mil/?domain_hint=army.mil</t>
  </si>
  <si>
    <t>https://onenote.osi.apps.mil/notebooks?domain_hint=army.mil</t>
  </si>
  <si>
    <t>https://www.ohome.apps.mil/launch/powerpoint?domain_hint=army.mil</t>
  </si>
  <si>
    <t>https://www.ohome.apps.mil/launch/word?domain_hint=army.mil</t>
  </si>
  <si>
    <t>https://webmail.apps.mil/owa/?domain_hint=army.mil</t>
  </si>
  <si>
    <t>Defense Travel System (DTS) is an integrated, automated, end-to-end travel management system that enables DOD travelers to create travel orders, prepare reservations, receive approvals, generate travel vouchers, and receive split disbursement between their bank accounts and the Government Travel Charge Card vendor.</t>
  </si>
  <si>
    <t>Defense Travel System (DTS)</t>
  </si>
  <si>
    <t>Global Electronic Approval Routing System 5 (Yellow - Legacy)</t>
  </si>
  <si>
    <t>Global Electronic Approval Routing System V (Red - Legacy)</t>
  </si>
  <si>
    <t>Global Electronic Approval Routing System (Purple - Legacy)</t>
  </si>
  <si>
    <t>Global Electronic Approval Routing System&lt;br&gt;(Purple - Legacy)</t>
  </si>
  <si>
    <t>Global Electronic Approval Routing System V&lt;br&gt;(Red - Legacy)</t>
  </si>
  <si>
    <t>Global Electronic Approval Routing System 5&lt;br&gt;(Yellow - Legacy)</t>
  </si>
  <si>
    <t>Body Fat Calculator</t>
  </si>
  <si>
    <t>https://armyresilience.army.mil/abcp/BodyFatCalculator.html</t>
  </si>
  <si>
    <t>The new calculator for the Army Body Compsision Program, hosted on Army Resilience</t>
  </si>
  <si>
    <t>My Enlisted Record Brief (ERB - LEGACY)</t>
  </si>
  <si>
    <t>My Enlisted/Officer Record Brief (National Guard - LEGACY)</t>
  </si>
  <si>
    <t>My Enlisted/Officer Record Brief (Reserve - LEGACY)</t>
  </si>
  <si>
    <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t>
  </si>
  <si>
    <t>This is a Legacy Card, Some or all of its funcions may no longer be avalible.&lt;br&gt;GEARS is an automated packet/document routing and tracking system built on SharePoint that implements global management of business processes.</t>
  </si>
  <si>
    <t>This is a Legacy Card, Some or all of its funcions may no longer be avalible.&lt;br&gt;Pulls your Promotion Point Worksheet from HRC. The Promotion Point Worksheet displays your current promotion point brake down for promotions to SGT and SSG.</t>
  </si>
  <si>
    <t>eMILPO (LEGACY)</t>
  </si>
  <si>
    <t>This is a Legacy Card, Some or all of its funcions may no longer be avalible.&lt;br&gt;eMILPO is the system of records for Army personnel and keeps track of all Soldiers within a particular unit, keeps track of Soldiers' individual records, and in general houses every Soldier's record in the active duty Army</t>
  </si>
  <si>
    <t>Global Electronic Approval Routing System 6 (GEARS - VI)</t>
  </si>
  <si>
    <t>https://atn.army.mil/mytraining/</t>
  </si>
  <si>
    <t>My Digital Job Book</t>
  </si>
  <si>
    <t>https://utap.army.mil/</t>
  </si>
  <si>
    <t>https://www.igc.ustranscom.mil/igc/</t>
  </si>
  <si>
    <t>https://gears.army.mil/</t>
  </si>
  <si>
    <t>Defense Information System for Security (DISS)</t>
  </si>
  <si>
    <t>https://www.dcsa.mil/Systems-Applications/Defense-Information-System-for-Security-DISS/</t>
  </si>
  <si>
    <t>https://fmsweb.fms.army.mil/unprotected/splash/</t>
  </si>
  <si>
    <t>Unit Training Assistance Program (UTAP)</t>
  </si>
  <si>
    <t>UTAP is a web-based repository for New Equipment Training Material which provides:
    Access to the latest training materials for the latest Army equipment to include OPNET / FLMNET Instructor Guides, Student Guides, Classroom Handouts, Programs of Instruction (POIs) and Lesson Plans,
    Instructional/Troubleshooting Videos and Computer Based Training (CBT),
    Access to PS Magazine's Maintenance Article Links for each system,
    Any open Maintenance Information/Action Messages (MIM/MAMs),
    Direct links to Logistics Data Analysis Center (LDAC) for TM access,
    Application-Based Technical Manuals,
    Annual file revalidation and maintenance</t>
  </si>
  <si>
    <t>My Digital Job Book allows a soldier to access their current training record currently found in DTMS.</t>
  </si>
  <si>
    <t>https://hr.ippsa.army.mil/psc/hcpdc_newwin/EMPLOYEE/HRMS/c/IP_SOLDIER_DASHBOARD.IP_PF_PAR_ESS_FL.GBL</t>
  </si>
  <si>
    <t>My Personnal Action Request (IPPS-A)</t>
  </si>
  <si>
    <t>My Orders (IPPS-A)</t>
  </si>
  <si>
    <t>https://hr.ippsa.army.mil/psc/hcpdc_newwin/EMPLOYEE/HRMS/c/IP_ORDERS_MENU.IP_ORDERS_SS.GBL</t>
  </si>
  <si>
    <t>https://hr.ippsa.army.mil/psc/hcpdc_newwin/EMPLOYEE/HRMS/c/IP_SS_PYE_ELM.IP_PYE_ELM_SRCH_FL.GBL</t>
  </si>
  <si>
    <t>https://armyeitaas.sharepoint-mil.us/_layouts/15/sharepoint.aspx?</t>
  </si>
  <si>
    <t>https://www.va.gov/REACH/</t>
  </si>
  <si>
    <t>https://www.vacareers.va.gov/careers/veterans</t>
  </si>
  <si>
    <t>https://www.vacareers.va.gov/careers/technicalfield</t>
  </si>
  <si>
    <t>https://www.vacareers.va.gov</t>
  </si>
  <si>
    <t>https://www.sms.army.mil/cms/spring.login</t>
  </si>
  <si>
    <t>https://www.hrc.army.mil/site/protect/active/epord/coad.htm</t>
  </si>
  <si>
    <t>https://cms.mods.amry.mil</t>
  </si>
  <si>
    <t>https://authentication.mods.army.mil/MCP</t>
  </si>
  <si>
    <t>TA134</t>
  </si>
  <si>
    <t>https://www.va.gov/education/about-gi-bill-benefits/post-9-11/yellow-ribbon-program</t>
  </si>
  <si>
    <t>Yellow Ribbon Program(Post 9/11)</t>
  </si>
  <si>
    <t>TA133</t>
  </si>
  <si>
    <t>https://www.womenshealth.va.gov</t>
  </si>
  <si>
    <t>Women Veterans Health Care</t>
  </si>
  <si>
    <t>TA132</t>
  </si>
  <si>
    <t>https://www.va.gov/OSDBU/WVOSBI.asp</t>
  </si>
  <si>
    <t>Women Veteran-Owned Small Business Initiative (WVOSBI)</t>
  </si>
  <si>
    <t>TA131</t>
  </si>
  <si>
    <t>https://www.va.gov/wholehealthlibrary/</t>
  </si>
  <si>
    <t>Whole Health Library</t>
  </si>
  <si>
    <t>TA130</t>
  </si>
  <si>
    <t>https://www.va.gov/wholehealth</t>
  </si>
  <si>
    <t>Whole Health</t>
  </si>
  <si>
    <t>TA129</t>
  </si>
  <si>
    <t>https://warriorcare.dodlive.mil/benefits/compensation-and-benefits</t>
  </si>
  <si>
    <t>Warrior Care Recovery Coordination Program Benefits</t>
  </si>
  <si>
    <t>TA128</t>
  </si>
  <si>
    <t>https://warriorcare.dodlive.mil/</t>
  </si>
  <si>
    <t>Warrior Care Recovery Coordination Program</t>
  </si>
  <si>
    <t>TA127</t>
  </si>
  <si>
    <t>https://www.nutrition.va.gov/Food_Insecurity.asp</t>
  </si>
  <si>
    <t>VHA National Food Security Office (FSO)</t>
  </si>
  <si>
    <t>TA126</t>
  </si>
  <si>
    <t>https://www.va.gov/life-insurance/options-eligibility/vgli</t>
  </si>
  <si>
    <t>Veterans’ Group Life Insurance (VGLI)</t>
  </si>
  <si>
    <t>TA125</t>
  </si>
  <si>
    <t>https://www.va.gov/education/about-gi-bill-benefits/how-to-use-benefits/vettec-high-tech-program</t>
  </si>
  <si>
    <t>Veterans technology education courses</t>
  </si>
  <si>
    <t>TA124</t>
  </si>
  <si>
    <t>https://www.cem.va.gov/legacy</t>
  </si>
  <si>
    <t>Veterans Legacy Program (VLP)</t>
  </si>
  <si>
    <t>TA123</t>
  </si>
  <si>
    <t>https://www.va.gov/remember</t>
  </si>
  <si>
    <t>Veterans Legacy Memorial Locator</t>
  </si>
  <si>
    <t>TA122</t>
  </si>
  <si>
    <t>Help justice invovled veterans to access VA programs and services and re-engage after incarceration</t>
  </si>
  <si>
    <t>https://www.VA.gov/homeless/vjo.asp</t>
  </si>
  <si>
    <t>Veterans Justice Outreach Program</t>
  </si>
  <si>
    <t>TA121</t>
  </si>
  <si>
    <t>https://www.mentalhealth.va.gov/student-veteran/vital-program.asp</t>
  </si>
  <si>
    <t>Veterans Integration to Academic Leadership (VITAL)</t>
  </si>
  <si>
    <t>TA120</t>
  </si>
  <si>
    <t>https://www.VA.gov/vhie</t>
  </si>
  <si>
    <t>Veterans Health Information Exchange (VHIE)</t>
  </si>
  <si>
    <t>TA119</t>
  </si>
  <si>
    <t>https://www.va.gov/health/patientadvocate</t>
  </si>
  <si>
    <t>Veterans Health Administration Patient Advocate</t>
  </si>
  <si>
    <t>TA118</t>
  </si>
  <si>
    <t>https://www.veteranscrisisline.net/resourcelocator</t>
  </si>
  <si>
    <t>Veterans Crisis Hotline Local Resources</t>
  </si>
  <si>
    <t>TA117</t>
  </si>
  <si>
    <t>provides on-going support</t>
  </si>
  <si>
    <t>https://www.veteranscrisisline.net</t>
  </si>
  <si>
    <t>Veterans Crisis Hotline</t>
  </si>
  <si>
    <t>TA116</t>
  </si>
  <si>
    <t>https://shopvcs.va.gov</t>
  </si>
  <si>
    <t>Veterans Canteen Service</t>
  </si>
  <si>
    <t>TA115</t>
  </si>
  <si>
    <t>https://www.benefits.va.gov/benefits/banking.asp</t>
  </si>
  <si>
    <t xml:space="preserve">Veterans Benefits Banking Program (VBBP) </t>
  </si>
  <si>
    <t>TA114</t>
  </si>
  <si>
    <t>https://benefits.va.gov/benefits/jobs</t>
  </si>
  <si>
    <t>Veterans Benefits Administration - Careers</t>
  </si>
  <si>
    <t>TA113</t>
  </si>
  <si>
    <t>https://www.va.gov/find-locations</t>
  </si>
  <si>
    <t>Veterans Affairs Locator</t>
  </si>
  <si>
    <t>TA112</t>
  </si>
  <si>
    <t>https://www.benefits.va.gov/insurance</t>
  </si>
  <si>
    <t>Veterans Affairs Life Insurance</t>
  </si>
  <si>
    <t>TA111</t>
  </si>
  <si>
    <t>https://www.benefits.va.gov/gibill/regional_processing.asp</t>
  </si>
  <si>
    <t>Veterans Affairs Education and Training Regional Processing Offices</t>
  </si>
  <si>
    <t>TA110</t>
  </si>
  <si>
    <t>https://www.benefits.va.gov/compensation/rates-index.asp</t>
  </si>
  <si>
    <t>Veterans Affairs Benefit Rates</t>
  </si>
  <si>
    <t>TA109</t>
  </si>
  <si>
    <t>https://www.benefits.va.gov/tap</t>
  </si>
  <si>
    <t>Veterans Affairs - Outreach, Transition and Economic Development</t>
  </si>
  <si>
    <t>TA108</t>
  </si>
  <si>
    <t>https://www.benefits.va.gov/vso</t>
  </si>
  <si>
    <t>Veterans Affairs - Accredited Representatives</t>
  </si>
  <si>
    <t>TA107</t>
  </si>
  <si>
    <t>https://www.vaforvets.va.gov</t>
  </si>
  <si>
    <t>Veteran and Military Spouse Talent Engagement Program (VMSTEP)</t>
  </si>
  <si>
    <t>TA106</t>
  </si>
  <si>
    <t>https://www.vetcenter.va.gov</t>
  </si>
  <si>
    <t>Vet Centers (Readjustment Counseling)</t>
  </si>
  <si>
    <t>TA105</t>
  </si>
  <si>
    <t>https://www.va.gov/housing-assistance/home-loans</t>
  </si>
  <si>
    <t>VA-backed Veterans home loans</t>
  </si>
  <si>
    <t>TA104</t>
  </si>
  <si>
    <t>https://www.va.gov/education/about-gi-bill-benefits/how-to-use-benefits/work-study</t>
  </si>
  <si>
    <t>Va Work study</t>
  </si>
  <si>
    <t>TA103</t>
  </si>
  <si>
    <t>https://www.va.gov/womenvet/whtt</t>
  </si>
  <si>
    <t>VA Women’s Health Transition Training</t>
  </si>
  <si>
    <t>TA102</t>
  </si>
  <si>
    <t>https://www.va.gov/welcome-kit</t>
  </si>
  <si>
    <t>VA Welcome Kit</t>
  </si>
  <si>
    <t>TA101</t>
  </si>
  <si>
    <t>https://www.va.gov/careers-employment/vocational-rehabilitation</t>
  </si>
  <si>
    <t>VA Veteran Readiness and Employment</t>
  </si>
  <si>
    <t>TA100</t>
  </si>
  <si>
    <t>https://www.va.gov/education/about-gi-bill-benefits/how-to-use-benefits/tutor-assistance</t>
  </si>
  <si>
    <t>VA Tutorial assistance</t>
  </si>
  <si>
    <t>TA099</t>
  </si>
  <si>
    <t>https://www.va.gov/education/transfer-post-9-11-gi-bill-benefits</t>
  </si>
  <si>
    <t>VA Transfer your Post-9/11 GI Bill benefits</t>
  </si>
  <si>
    <t>TA098</t>
  </si>
  <si>
    <t>https://www.va.gov/pension/survivors-pension</t>
  </si>
  <si>
    <t>VA Survivors Pension</t>
  </si>
  <si>
    <t>TA097</t>
  </si>
  <si>
    <t>https://www.socialwork.va.gov</t>
  </si>
  <si>
    <t>VA Social Work</t>
  </si>
  <si>
    <t>TA096</t>
  </si>
  <si>
    <t>https://www.va.gov/health-care/about-va-health-benefits/your-care-team</t>
  </si>
  <si>
    <t xml:space="preserve">VA primary care provider </t>
  </si>
  <si>
    <t>TA095</t>
  </si>
  <si>
    <t>https://www.va.gov/pension</t>
  </si>
  <si>
    <t>VA pension benefits</t>
  </si>
  <si>
    <t>TA094</t>
  </si>
  <si>
    <t>https://www.va.gov/education/about-gi-bill-benefits/how-to-use-benefits/on-the-job-training-apprenticeships</t>
  </si>
  <si>
    <t>VA On-the-job training and apprenticeships</t>
  </si>
  <si>
    <t>TA093</t>
  </si>
  <si>
    <t>https://www.va.gov/health-care/health-needs-conditions/mental-health</t>
  </si>
  <si>
    <t>VA mental health services</t>
  </si>
  <si>
    <t>TA092</t>
  </si>
  <si>
    <t>https://www.va.gov/life-insurance</t>
  </si>
  <si>
    <t>VA life insurance</t>
  </si>
  <si>
    <t>TA091</t>
  </si>
  <si>
    <t>https://www.va.gov/housing-assistance</t>
  </si>
  <si>
    <t>VA housing assistance</t>
  </si>
  <si>
    <t>TA090</t>
  </si>
  <si>
    <t>https://www.va.gov/homeless</t>
  </si>
  <si>
    <t>VA Homeless Programs</t>
  </si>
  <si>
    <t>TA089</t>
  </si>
  <si>
    <t>https://www.benefits.va.gov/HOMELOANS/index.asp</t>
  </si>
  <si>
    <t>VA Home Loans</t>
  </si>
  <si>
    <t>TA088</t>
  </si>
  <si>
    <t>https://www.va.gov/housing-assistance/home-loans/trouble-making-payments</t>
  </si>
  <si>
    <t>VA help to avoid foreclosure</t>
  </si>
  <si>
    <t>TA087</t>
  </si>
  <si>
    <t>https://www.va.gov/health-care/about-va-health-benefits/dental-care</t>
  </si>
  <si>
    <t>VA health care - Dental</t>
  </si>
  <si>
    <t>TA086</t>
  </si>
  <si>
    <t>https://www.va.gov/health-care</t>
  </si>
  <si>
    <t>VA health care</t>
  </si>
  <si>
    <t>TA085</t>
  </si>
  <si>
    <t>https://www.va.gov/education/survivor-dependent-benefits/fry-scholarship</t>
  </si>
  <si>
    <t>VA Fry Scholarships</t>
  </si>
  <si>
    <t>TA084</t>
  </si>
  <si>
    <t>https://www.va.gov/communitycare/programs/veterans/fmp</t>
  </si>
  <si>
    <t>VA Foreign Medical Program (FMP)</t>
  </si>
  <si>
    <t>TA083</t>
  </si>
  <si>
    <t>https://www.va.gov/education</t>
  </si>
  <si>
    <t>VA education and training benefits</t>
  </si>
  <si>
    <t>TA082</t>
  </si>
  <si>
    <t>https://www.va.gov/education/other-va-education-benefits/stem-scholarship</t>
  </si>
  <si>
    <t>VA Edith Nourse Rogers STEM Scholarship</t>
  </si>
  <si>
    <t>TA081</t>
  </si>
  <si>
    <t>https://www.va.gov/disability</t>
  </si>
  <si>
    <t>VA disability compensation</t>
  </si>
  <si>
    <t>TA080</t>
  </si>
  <si>
    <t>https://www.va.gov/change-direct-deposit</t>
  </si>
  <si>
    <t>VA direct deposit information</t>
  </si>
  <si>
    <t>TA079</t>
  </si>
  <si>
    <t>https://www.va.gov/healthbenefits/vadip</t>
  </si>
  <si>
    <t>VA Dental Insurance Program (VADIP)</t>
  </si>
  <si>
    <t>TA078</t>
  </si>
  <si>
    <t>https://www.va.gov/communitycare</t>
  </si>
  <si>
    <t>VA Community Care</t>
  </si>
  <si>
    <t>TA077</t>
  </si>
  <si>
    <t>https://www.volunteer.VA.gov</t>
  </si>
  <si>
    <t>VA Center for Development and Civic Engagement</t>
  </si>
  <si>
    <t>TA076</t>
  </si>
  <si>
    <t>https://www.caregiver.va.gov</t>
  </si>
  <si>
    <t>VA Caregiver Support Program</t>
  </si>
  <si>
    <t>TA075</t>
  </si>
  <si>
    <t>https://www.va.gov/careers-employment</t>
  </si>
  <si>
    <t>VA Careers and employment</t>
  </si>
  <si>
    <t>TA074</t>
  </si>
  <si>
    <t>https://www.vets.gov/employment/job-seekers/register-your-business</t>
  </si>
  <si>
    <t>TA073</t>
  </si>
  <si>
    <t>https://www.va.gov/burials-memorials</t>
  </si>
  <si>
    <t>VA burial benefits and memorial items</t>
  </si>
  <si>
    <t>TA072</t>
  </si>
  <si>
    <t>https://www.va.gov/family-member-benefits</t>
  </si>
  <si>
    <t>VA benefits for spouses, dependents, survivors, and family caregivers</t>
  </si>
  <si>
    <t>TA071</t>
  </si>
  <si>
    <t>https://www.va.gov/service-member-benefits</t>
  </si>
  <si>
    <t>VA benefits for service members</t>
  </si>
  <si>
    <t>TA070</t>
  </si>
  <si>
    <t>transition assistance</t>
  </si>
  <si>
    <t>https://www.uso.org/programs/uso-pathfinder</t>
  </si>
  <si>
    <t>USO Transition Program</t>
  </si>
  <si>
    <t>TA069</t>
  </si>
  <si>
    <t>https://www.usajobs.gov/</t>
  </si>
  <si>
    <t>USA Jobs</t>
  </si>
  <si>
    <t>TA068</t>
  </si>
  <si>
    <t>https://www.uscg.mil/psc/psd/fs/tsgli.asp</t>
  </si>
  <si>
    <t>US Coast Guard Personnel Service Center (PSC)</t>
  </si>
  <si>
    <t>TA067</t>
  </si>
  <si>
    <t>https://www.sba.gov/federal-contracting</t>
  </si>
  <si>
    <t>U.S. Small Buisness Administration</t>
  </si>
  <si>
    <t>TA066</t>
  </si>
  <si>
    <t>https://www.opm.gov</t>
  </si>
  <si>
    <t>U.S. Office of Personnel Management</t>
  </si>
  <si>
    <t>TA065</t>
  </si>
  <si>
    <t>main portal for access to VA</t>
  </si>
  <si>
    <t>https://www.va.gov</t>
  </si>
  <si>
    <t>U.S. Department of Veterans Affairs</t>
  </si>
  <si>
    <t>TA064</t>
  </si>
  <si>
    <t>https://www.uscis.gov/military</t>
  </si>
  <si>
    <t>U.S. Citizenship and Immigration Services - Military</t>
  </si>
  <si>
    <t>TA063</t>
  </si>
  <si>
    <t>https://www.tricare.mil</t>
  </si>
  <si>
    <t>Tricare</t>
  </si>
  <si>
    <t>TA062</t>
  </si>
  <si>
    <t>https://www.va.gov/life-insurance/options-eligibility/tsgli</t>
  </si>
  <si>
    <t>Traumatic Injury Protection (TSGLI)</t>
  </si>
  <si>
    <t>TA061</t>
  </si>
  <si>
    <t>https://tapevents.mil</t>
  </si>
  <si>
    <t>Transition Assistance Program</t>
  </si>
  <si>
    <t>TA060</t>
  </si>
  <si>
    <t>https://www.dodsurveys.mil/tgpsp</t>
  </si>
  <si>
    <t>Transition Assistance Participant Assessment.</t>
  </si>
  <si>
    <t>TA059</t>
  </si>
  <si>
    <t>https://www.va.gov/education/survivor-dependent-benefits/dependents-education-assistance</t>
  </si>
  <si>
    <t>Survivors’ and Dependents’ Educational Assistance</t>
  </si>
  <si>
    <t>TA058</t>
  </si>
  <si>
    <t>https://www.va.gov/disability/dependency-indemnity-compensation</t>
  </si>
  <si>
    <t xml:space="preserve">Survivor and dependent compensation (DIC) </t>
  </si>
  <si>
    <t>TA057</t>
  </si>
  <si>
    <t>https://portal.armytap.army.mil</t>
  </si>
  <si>
    <t>Solder For Life Transition Assistance Program</t>
  </si>
  <si>
    <t>TA056</t>
  </si>
  <si>
    <t>https://www.fns.usda.gov/snap/state-directory</t>
  </si>
  <si>
    <t>SNAP State Directory of Resources</t>
  </si>
  <si>
    <t>TA055</t>
  </si>
  <si>
    <t>https://www.va.gov/life-insurance/options-eligibility/sgli</t>
  </si>
  <si>
    <t>Servicemembers’ Group Life Insurance (SGLI)</t>
  </si>
  <si>
    <t>TA054</t>
  </si>
  <si>
    <t>https://www.va.gov/life-insurance/options-eligibility/s-dvi</t>
  </si>
  <si>
    <t>Service-Disabled Veterans Life Insurance (S-DVI)</t>
  </si>
  <si>
    <t>TA053</t>
  </si>
  <si>
    <t>https://www.sba.gov/ovbd</t>
  </si>
  <si>
    <t>SBA Office of Veterans Business Development</t>
  </si>
  <si>
    <t>TA052</t>
  </si>
  <si>
    <t>https://www.sba.gov/local</t>
  </si>
  <si>
    <t>SBA Local Assistance</t>
  </si>
  <si>
    <t>TA051</t>
  </si>
  <si>
    <t>https://www.sba.gov/sba-learning-platform</t>
  </si>
  <si>
    <t>SBA Learning Platform</t>
  </si>
  <si>
    <t>TA050</t>
  </si>
  <si>
    <t>https://www.rd.usda.gov</t>
  </si>
  <si>
    <t>Rural Development</t>
  </si>
  <si>
    <t>TA049</t>
  </si>
  <si>
    <t>https://www.va.gov/housing-assistance/home-loans/how-to-apply</t>
  </si>
  <si>
    <t>request a VA home loan Certificate of Eligibility</t>
  </si>
  <si>
    <t>TA048</t>
  </si>
  <si>
    <t>https://www.rallypoint.com</t>
  </si>
  <si>
    <t>Rally Point</t>
  </si>
  <si>
    <t>TA047</t>
  </si>
  <si>
    <t>https://www.ptsd.va.gov/apps/decisionaid</t>
  </si>
  <si>
    <t>PTSD Treatment Decision Aid</t>
  </si>
  <si>
    <t>TA046</t>
  </si>
  <si>
    <t>https://www.va.gov/health-care/health-needs-conditions/mental-health/ptsd</t>
  </si>
  <si>
    <t>PTSD treatment</t>
  </si>
  <si>
    <t>TA045</t>
  </si>
  <si>
    <t>https://www.va.gov/family-member-benefits/comprehensive-assistance-for-family-caregivers</t>
  </si>
  <si>
    <t>Program of Comprehensive Assistance for Family Caregivers</t>
  </si>
  <si>
    <t>TA044</t>
  </si>
  <si>
    <t>https://www.va.gov/burials-memorials/pre-need-eligibility</t>
  </si>
  <si>
    <t>Pre-need eligibility for burial in a VA cemetery</t>
  </si>
  <si>
    <t>TA043</t>
  </si>
  <si>
    <t>https://www.va.gov/post911veterans/</t>
  </si>
  <si>
    <t>Post-9/11 Transition and Case Management</t>
  </si>
  <si>
    <t>TA042</t>
  </si>
  <si>
    <t>https://www.opm.gov/fedshirevets/</t>
  </si>
  <si>
    <t>OPM - Feds Hire Vets</t>
  </si>
  <si>
    <t>TA041</t>
  </si>
  <si>
    <t>https://www.va.gov/osdbu</t>
  </si>
  <si>
    <t>Office of Small &amp; Disadvantaged Business Utilization</t>
  </si>
  <si>
    <t>TA040</t>
  </si>
  <si>
    <t>https://www.patientcare.va.gov/chaplain/index.asp</t>
  </si>
  <si>
    <t>National VA Chaplain Services</t>
  </si>
  <si>
    <t>TA039</t>
  </si>
  <si>
    <t>https://nrd.gov</t>
  </si>
  <si>
    <t>National Resource Directory</t>
  </si>
  <si>
    <t>TA038</t>
  </si>
  <si>
    <t>VA for National Guard</t>
  </si>
  <si>
    <t>https://www.benefits.VA.gov/guardreserve</t>
  </si>
  <si>
    <t xml:space="preserve">National Guard and Reserve Veterans Affairs </t>
  </si>
  <si>
    <t>TA037</t>
  </si>
  <si>
    <t>https://www.ptsd.va.gov</t>
  </si>
  <si>
    <t>National Center for PTSD</t>
  </si>
  <si>
    <t>TA036</t>
  </si>
  <si>
    <t>health care portal</t>
  </si>
  <si>
    <t>https://www.myhealth.VA.gov</t>
  </si>
  <si>
    <t>My Health Evet</t>
  </si>
  <si>
    <t>TA035</t>
  </si>
  <si>
    <t>https://www.va.gov/education/about-gi-bill-benefits/montgomery-selected-reserve</t>
  </si>
  <si>
    <t>Montgomery GI Bill Selected Reserve</t>
  </si>
  <si>
    <t>TA034</t>
  </si>
  <si>
    <t>https://www.va.gov/education/benefit-rates/montgomery-600-buy-up-rates/</t>
  </si>
  <si>
    <t>Montgomery GI Bill Buy-Up program rates</t>
  </si>
  <si>
    <t>TA033</t>
  </si>
  <si>
    <t>https://www.benefits.va.gov/benefits/mstcoordinators.asp</t>
  </si>
  <si>
    <t>Military Sexual Trauma Coordinators</t>
  </si>
  <si>
    <t>TA032</t>
  </si>
  <si>
    <t>https://www.mentalhealth.va.gov/msthome/index.asp</t>
  </si>
  <si>
    <t>Military Sexual Trauma</t>
  </si>
  <si>
    <t>TA031</t>
  </si>
  <si>
    <t>https://www.militaryonesource.com</t>
  </si>
  <si>
    <t>Military One Source</t>
  </si>
  <si>
    <t>TA030</t>
  </si>
  <si>
    <t>Milconnect</t>
  </si>
  <si>
    <t>TA029</t>
  </si>
  <si>
    <t>https://www.mentalhealth.va.gov/mentalhealth/women-vets</t>
  </si>
  <si>
    <t>Mental Health - Women Veterans</t>
  </si>
  <si>
    <t>TA028</t>
  </si>
  <si>
    <t>https://www.mentalhealth.va.gov/suicide_prevention</t>
  </si>
  <si>
    <t>Mental Health - Suicide Prevention</t>
  </si>
  <si>
    <t>TA027</t>
  </si>
  <si>
    <t>https://linkedin.com</t>
  </si>
  <si>
    <t>LinkedIN</t>
  </si>
  <si>
    <t>TA026</t>
  </si>
  <si>
    <t>https://worksource.itsmycareer.com</t>
  </si>
  <si>
    <t>Its My Career</t>
  </si>
  <si>
    <t>TA025</t>
  </si>
  <si>
    <t>https://www.socialwork.va.gov/ipv</t>
  </si>
  <si>
    <t>Intimate Partner Violence Assistance Program (IPVAP)</t>
  </si>
  <si>
    <t>TA024</t>
  </si>
  <si>
    <t>https://benefits.va.gov/predischarge/disability-exams.asp</t>
  </si>
  <si>
    <t>Integrated Disability Evaluation System (IDES)</t>
  </si>
  <si>
    <t>TA023</t>
  </si>
  <si>
    <t>https://www.VA.gov/healthbenefits/apps/explorer</t>
  </si>
  <si>
    <t>Income limits and your VA health care</t>
  </si>
  <si>
    <t>TA022</t>
  </si>
  <si>
    <t>https://www.va.gov/health-care/how-to-apply</t>
  </si>
  <si>
    <t>How to apply for VA health care</t>
  </si>
  <si>
    <t>TA021</t>
  </si>
  <si>
    <t>https://www.va.gov/discharge-upgrade-instructions</t>
  </si>
  <si>
    <t>How to Apply for a Discharge Upgrade</t>
  </si>
  <si>
    <t>TA020</t>
  </si>
  <si>
    <t>https://www.va.gov/burials-memorials/memorial-items</t>
  </si>
  <si>
    <t>Honor a Veteran or Reservist with memorial item</t>
  </si>
  <si>
    <t>TA019</t>
  </si>
  <si>
    <t>https://www.VA.gov/homeless/reentry.asp</t>
  </si>
  <si>
    <t>Health Care for Re-entry Veterans Services and Resources</t>
  </si>
  <si>
    <t>TA018</t>
  </si>
  <si>
    <t>https://www.va.gov/gi-bill-comparison-tool</t>
  </si>
  <si>
    <t>GI Bill Comparison Tool</t>
  </si>
  <si>
    <t>TA017</t>
  </si>
  <si>
    <t>https://www.va.gov/education/yellow-ribbon-participating-schools</t>
  </si>
  <si>
    <t>Find a Yellow Ribbon school</t>
  </si>
  <si>
    <t>TA016</t>
  </si>
  <si>
    <t>https://www.va.gov/disability/how-to-file-claim/when-to-file/pre-discharge-claim/file-while-overseas</t>
  </si>
  <si>
    <t>File a pre-discharge claim while overseas</t>
  </si>
  <si>
    <t>TA015</t>
  </si>
  <si>
    <t>https://www.va.gov/life-insurance/options-eligibility/fsgli</t>
  </si>
  <si>
    <t>Family Servicemembers’ Group Life Insurance (FSGLI)</t>
  </si>
  <si>
    <t>TA014</t>
  </si>
  <si>
    <t>help find housing and jobs, persue education, access mental healht, support families</t>
  </si>
  <si>
    <t>https://nrd.gov/resource/detail/21079956/ETS+Sponsorship</t>
  </si>
  <si>
    <t>ETS Sponsorship Program - National Resource Directory</t>
  </si>
  <si>
    <t>TA013</t>
  </si>
  <si>
    <t>https://skillbridge.osd.mil</t>
  </si>
  <si>
    <t>DOD Skillbridge</t>
  </si>
  <si>
    <t>TA012</t>
  </si>
  <si>
    <t>https://www.va.gov/housing-assistance/disability-housing-grants</t>
  </si>
  <si>
    <t>Disability housing grants for Veterans</t>
  </si>
  <si>
    <t>TA011</t>
  </si>
  <si>
    <t>https://www.dfas.mil/RetiredMilitary/</t>
  </si>
  <si>
    <t>Defense Finance and Accounting Service (DFAS) - Retir\ed Military</t>
  </si>
  <si>
    <t>TA010</t>
  </si>
  <si>
    <t>https://www.archives.gov/veterans/military-service-records/correct-service-records.html</t>
  </si>
  <si>
    <t>Correcting Military Service Records</t>
  </si>
  <si>
    <t>TA009</t>
  </si>
  <si>
    <t>https://www.consumerfinance.gov</t>
  </si>
  <si>
    <t>Consumer Financial Protection Bureau</t>
  </si>
  <si>
    <t>TA008</t>
  </si>
  <si>
    <t>https://www.va.gov/health-care/health-needs-conditions/chemical-hazardous-materials-exposure</t>
  </si>
  <si>
    <t>Chemical or hazardous material exposure</t>
  </si>
  <si>
    <t>TA007</t>
  </si>
  <si>
    <t>https://www.va.gov/womenvet</t>
  </si>
  <si>
    <t>Center for Women Veterans (CWV)</t>
  </si>
  <si>
    <t>TA006</t>
  </si>
  <si>
    <t>Ensure all veterans receive equal service, advocate for minorities, advice on policies and programs affecting minorities</t>
  </si>
  <si>
    <t>https://www.VA.gov/centerforminorityveterans/</t>
  </si>
  <si>
    <t>Center for Minority Veterans (CMV)</t>
  </si>
  <si>
    <t>TA005</t>
  </si>
  <si>
    <t>https://www.hhs.gov/about/agencies/iea/partnerships/index.html</t>
  </si>
  <si>
    <t>Center for Faith-based and Neighborhood Partnerships (Partnership Center)</t>
  </si>
  <si>
    <t>TA004</t>
  </si>
  <si>
    <t>https://warriorcare.dodlive.mil/caregiver-resources</t>
  </si>
  <si>
    <t>Caregiver Resources - Warrior Care Recovery Coordination Program</t>
  </si>
  <si>
    <t>TA003</t>
  </si>
  <si>
    <t>https://www.va.gov/housing-assistance/home-loans/home-buying-process</t>
  </si>
  <si>
    <t>Buying a home with a VA-backed loan</t>
  </si>
  <si>
    <t>TA002</t>
  </si>
  <si>
    <t>https://www.VA.gov/wholehealth/phi.asp</t>
  </si>
  <si>
    <t>Build Your Personal Health Plan</t>
  </si>
  <si>
    <t>TA001</t>
  </si>
  <si>
    <t>https://www.va.gov/careers-employment/vocational-rehabilitation/apply-vre-form-28-1900/start</t>
  </si>
  <si>
    <t>Apply for Veteran Readiness and Employment</t>
  </si>
  <si>
    <t>Before You ETS</t>
  </si>
  <si>
    <t>Supporting Yourself and Your Family</t>
  </si>
  <si>
    <t>Continued Education</t>
  </si>
  <si>
    <t>Career Preporation</t>
  </si>
  <si>
    <t>USO/ other sources</t>
  </si>
  <si>
    <t>Veteran Affairs Programs</t>
  </si>
  <si>
    <t>Finding Housing</t>
  </si>
  <si>
    <t>Veteran Affairs Health Programs</t>
  </si>
  <si>
    <t>ID</t>
  </si>
  <si>
    <t>Title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</si>
</sst>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rial"/>
    </font>
    <font>
      <sz val="11"/>
      <color theme="1"/>
      <name val="Calibri"/>
      <family val="2"/>
      <scheme val="minor"/>
    </font>
    <font>
      <u/>
      <sz val="11"/>
      <color theme="10"/>
      <name val="Arial"/>
    </font>
    <font>
      <sz val="11"/>
      <color theme="1"/>
      <name val="Arial"/>
      <family val="2"/>
    </font>
    <font>
      <u/>
      <sz val="11"/>
      <color theme="10"/>
      <name val="Arial"/>
      <family val="2"/>
    </font>
    <font>
      <sz val="8"/>
      <name val="Arial"/>
      <family val="2"/>
    </font>
    <font>
      <b/>
      <sz val="11"/>
      <color theme="0"/>
      <name val="Arial"/>
      <family val="2"/>
    </font>
    <font>
      <b/>
      <sz val="11"/>
      <color theme="1"/>
      <name val="Arial"/>
      <family val="2"/>
    </font>
    <font>
      <b/>
      <sz val="11"/>
      <color theme="1"/>
      <name val="Arial"/>
    </font>
    <font>
      <i/>
      <sz val="10.5"/>
      <color rgb="FF000000"/>
      <name val="Arial"/>
      <family val="2"/>
    </font>
    <font>
      <b/>
      <i/>
      <sz val="11"/>
      <color theme="1"/>
      <name val="Arial"/>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1"/>
        <bgColor theme="1"/>
      </patternFill>
    </fill>
  </fills>
  <borders count="2">
    <border>
      <left/>
      <right/>
      <top/>
      <bottom/>
      <diagonal/>
    </border>
    <border>
      <left/>
      <right/>
      <top style="thin">
        <color theme="1"/>
      </top>
      <bottom/>
      <diagonal/>
    </border>
  </borders>
  <cellStyleXfs count="4">
    <xf numFmtId="0" fontId="0" fillId="0" borderId="0"/>
    <xf numFmtId="0" fontId="2" fillId="0" borderId="0" applyNumberFormat="0" applyFill="0" applyBorder="0" applyAlignment="0" applyProtection="0"/>
    <xf numFmtId="0" fontId="1" fillId="0" borderId="0"/>
    <xf numFmtId="0" fontId="11" fillId="0" borderId="0" applyNumberFormat="0" applyFill="0" applyBorder="0" applyAlignment="0" applyProtection="0"/>
  </cellStyleXfs>
  <cellXfs count="24">
    <xf numFmtId="0" fontId="0" fillId="0" borderId="0" xfId="0"/>
    <xf numFmtId="0" fontId="3" fillId="0" borderId="0" xfId="0" applyFont="1"/>
    <xf numFmtId="0" fontId="3" fillId="0" borderId="1" xfId="0" applyFont="1" applyBorder="1"/>
    <xf numFmtId="0" fontId="7" fillId="0" borderId="1" xfId="0" applyFont="1" applyBorder="1"/>
    <xf numFmtId="0" fontId="6" fillId="2" borderId="0" xfId="0" applyFont="1" applyFill="1" applyAlignment="1">
      <alignment horizontal="center" vertical="center" wrapText="1"/>
    </xf>
    <xf numFmtId="0" fontId="4" fillId="0" borderId="1" xfId="1" applyFont="1" applyFill="1" applyBorder="1" applyAlignment="1"/>
    <xf numFmtId="0" fontId="2" fillId="0" borderId="1" xfId="1" applyFill="1" applyBorder="1" applyAlignment="1"/>
    <xf numFmtId="0" fontId="4" fillId="0" borderId="0" xfId="1" applyFont="1" applyFill="1" applyBorder="1" applyAlignment="1"/>
    <xf numFmtId="0" fontId="2" fillId="0" borderId="0" xfId="1" applyFill="1" applyBorder="1" applyAlignment="1"/>
    <xf numFmtId="0" fontId="2" fillId="0" borderId="1" xfId="1" applyBorder="1" applyAlignment="1"/>
    <xf numFmtId="0" fontId="2" fillId="0" borderId="1" xfId="1" applyBorder="1"/>
    <xf numFmtId="0" fontId="2" fillId="0" borderId="0" xfId="1" applyBorder="1" applyAlignment="1"/>
    <xf numFmtId="0" fontId="2" fillId="0" borderId="0" xfId="1" applyBorder="1"/>
    <xf numFmtId="0" fontId="9" fillId="0" borderId="0" xfId="0" applyFont="1" applyAlignment="1">
      <alignment horizontal="left" vertical="center" readingOrder="1"/>
    </xf>
    <xf numFmtId="0" fontId="10" fillId="0" borderId="0" xfId="0" applyFont="1"/>
    <xf numFmtId="0" fontId="2" fillId="0" borderId="1" xfId="1" applyFill="1" applyBorder="1" applyAlignment="1">
      <alignment vertical="center"/>
    </xf>
    <xf numFmtId="0" fontId="2" fillId="0" borderId="0" xfId="1"/>
    <xf numFmtId="0" fontId="1" fillId="0" borderId="0" xfId="2"/>
    <xf numFmtId="0" fontId="11" fillId="0" borderId="0" xfId="3"/>
    <xf numFmtId="0" fontId="12" fillId="0" borderId="0" xfId="3" applyFont="1"/>
    <xf numFmtId="0" fontId="1" fillId="0" borderId="0" xfId="2" applyAlignment="1">
      <alignment vertical="center"/>
    </xf>
    <xf numFmtId="0" fontId="1" fillId="0" borderId="0" xfId="2" applyAlignment="1">
      <alignment horizontal="left" vertical="center" textRotation="90"/>
    </xf>
    <xf numFmtId="0" fontId="6" fillId="2" borderId="0" xfId="2" applyFont="1" applyFill="1" applyAlignment="1">
      <alignment horizontal="left" vertical="center" textRotation="90" wrapText="1"/>
    </xf>
    <xf numFmtId="0" fontId="6" fillId="2" borderId="0" xfId="0" applyFont="1" applyFill="1" applyAlignment="1">
      <alignment horizontal="center" vertical="center" textRotation="90" wrapText="1"/>
    </xf>
  </cellXfs>
  <cellStyles count="4">
    <cellStyle name="Hyperlink" xfId="1" builtinId="8"/>
    <cellStyle name="Hyperlink 2" xfId="3" xr:uid="{35250E40-CAD8-445D-AD7F-C0639F11F9A3}"/>
    <cellStyle name="Normal" xfId="0" builtinId="0"/>
    <cellStyle name="Normal 2" xfId="2" xr:uid="{FECAF893-080A-4C57-AE20-812579FE22D6}"/>
  </cellStyles>
  <dxfs count="37">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alignment horizontal="left" vertical="center" textRotation="9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1"/>
        </top>
        <bottom/>
        <vertical/>
        <horizontal/>
      </border>
    </dxf>
    <dxf>
      <font>
        <b/>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theme="1"/>
          <bgColor theme="1"/>
        </patternFill>
      </fill>
      <alignment horizontal="center" vertical="center" textRotation="0" wrapText="1" indent="0" justifyLastLine="0" shrinkToFit="0" readingOrder="0"/>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s>
  <tableStyles count="1">
    <tableStyle name="Sheet1-style" pivot="0" count="3" xr9:uid="{00000000-0011-0000-FFFF-FFFF00000000}">
      <tableStyleElement type="headerRow" dxfId="36"/>
      <tableStyleElement type="firstRowStripe" dxfId="35"/>
      <tableStyleElement type="secondRowStripe"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customschemas.google.com/relationships/workbookmetadata" Target="metadata"/><Relationship Id="rId10" Type="http://schemas.microsoft.com/office/2017/06/relationships/rdRichValue" Target="richData/rdrichvalue.xml"/><Relationship Id="rId9" Type="http://schemas.openxmlformats.org/officeDocument/2006/relationships/sheetMetadata" Target="metadata.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27A076-AD6E-4BFD-A513-8F46332D8247}" name="Table1" displayName="Table1" ref="A1:AA228" totalsRowShown="0" headerRowDxfId="33" dataDxfId="32" tableBorderDxfId="31">
  <autoFilter ref="A1:AA228" xr:uid="{CF0EAAFD-C9E8-472C-90DD-AE9F239324BB}">
    <filterColumn colId="6">
      <customFilters>
        <customFilter operator="notEqual" val=" "/>
      </customFilters>
    </filterColumn>
  </autoFilter>
  <sortState xmlns:xlrd2="http://schemas.microsoft.com/office/spreadsheetml/2017/richdata2" ref="A2:AA225">
    <sortCondition ref="A1:A225"/>
  </sortState>
  <tableColumns count="27">
    <tableColumn id="1" xr3:uid="{D77C5534-FB6A-4001-98C9-7764A50181F3}" name="Site"/>
    <tableColumn id="26" xr3:uid="{C70F0246-BAE7-4A6D-AD24-FA3F0911435D}" name="Card Title"/>
    <tableColumn id="2" xr3:uid="{1DAA137F-D1F4-4202-94F4-16D6DCF8C04F}" name="URL" dataDxfId="30"/>
    <tableColumn id="24" xr3:uid="{9022C93A-20ED-4844-86E4-CFFF4A400BFA}" name="Image Asset"/>
    <tableColumn id="23" xr3:uid="{DD9FCBE3-8FF5-4E5B-9CEC-BF000A694731}" name="Description"/>
    <tableColumn id="3" xr3:uid="{25958D79-CFAA-47C1-8C0A-31879C19033C}" name="IDs" dataDxfId="29"/>
    <tableColumn id="25" xr3:uid="{AABB5AC6-FCED-41F7-AB86-9E9DD1E92EE1}" name="DOD Locked" dataDxfId="28"/>
    <tableColumn id="4" xr3:uid="{A42865CC-DE97-4DB0-ADA5-75BD5EB4AA10}" name="CaC Locked" dataDxfId="27"/>
    <tableColumn id="6" xr3:uid="{62EDD081-D1D4-42C4-A71E-39EAB2B84A5E}" name="Army Web Sites" dataDxfId="26"/>
    <tableColumn id="7" xr3:uid="{B0AC7EC8-8E57-4065-859D-D503444AC681}" name="Combat Readiness" dataDxfId="25"/>
    <tableColumn id="8" xr3:uid="{F608AAD2-368C-452C-8E5F-875D00ED62AC}" name="DOD Resources" dataDxfId="24"/>
    <tableColumn id="9" xr3:uid="{F0413A3D-0292-4242-B4F6-330215C07740}" name="Family" dataDxfId="23"/>
    <tableColumn id="10" xr3:uid="{F92E69EE-C83A-4BBA-9AA2-05592755FBE6}" name="Finance" dataDxfId="22"/>
    <tableColumn id="11" xr3:uid="{396909CA-8294-426B-B666-F1AE8190D5AE}" name="Health Resources" dataDxfId="21"/>
    <tableColumn id="12" xr3:uid="{AFCDE646-25B7-470A-A4D3-2AD9200C4B42}" name="Human Resources" dataDxfId="20"/>
    <tableColumn id="13" xr3:uid="{74F09F38-D0C4-4AD5-9DE3-DE81A2D669D6}" name="Legal Resources" dataDxfId="19"/>
    <tableColumn id="14" xr3:uid="{89DEB220-C72E-4C94-B51C-9753010575A3}" name="Professional Development" dataDxfId="18"/>
    <tableColumn id="15" xr3:uid="{2D9049B0-993D-4B22-BBBB-B6C8A0B9A110}" name="Resources/Information Technology" dataDxfId="17"/>
    <tableColumn id="16" xr3:uid="{7E4FAA22-08C3-423E-88B5-7ECB48F647CE}" name="Mil Ed" dataDxfId="16"/>
    <tableColumn id="17" xr3:uid="{1EE5EB73-DBDD-42F4-B73E-6D0CDD09AD54}" name="Civ Ed" dataDxfId="15"/>
    <tableColumn id="18" xr3:uid="{0C5F002D-0959-438E-A213-64C541CB43B7}" name="US Gov Web Sites" dataDxfId="14"/>
    <tableColumn id="28" xr3:uid="{76F9B2C2-F7D7-47BD-86C7-BE946F8BC4B2}" name="Legacy" dataDxfId="13"/>
    <tableColumn id="19" xr3:uid="{E9BED814-15DC-43B5-AF25-0BC5D78DCCD8}" name="JavaScript varable declearion" dataDxfId="12">
      <calculatedColumnFormula>CONCATENATE("var js",Table1[[#This Row],[IDs]]," = document.getElementbyId('",Table1[[#This Row],[IDs]],"').innerHTML; //  ",Table1[[#This Row],[Site]])</calculatedColumnFormula>
    </tableColumn>
    <tableColumn id="20" xr3:uid="{A323D7AE-A8A0-4138-966E-3A586C2F66FC}" name="HTML Card" dataDxfId="11">
      <calculatedColumnFormula>CONCATENATE("        &lt;!--",A2," - ",C2," --&gt;
        &lt;div class='column catAll",IF(I2="X"," catArmySites",""),IF(J2="X"," catCombatReadiness",""),IF(K2="X"," catDod",""),IF(L2="X"," catFamily",""),IF(M2="X"," catFinance",""),IF(N2="X"," catHealth",""),IF(O2="X"," catHuman",""),IF(P2="X"," catLegal",""),IF(Q2="X"," catProDev",""),IF(R2="X"," catTech",""),IF(S2="X"," catMilEd",""),IF(T2="X"," catCivEd",""),IF(U2="X"," catUsGov",""),"' style='margin-bottom: 0px;' id='",F2,"'&gt;
          &lt;a href='",C2,"' rel='noopener noreferrer' class='column hideMarquee'&gt;
            &lt;div class='armyCardContainer card'&gt;
              &lt;div class='armyCard'&gt;
                &lt;div&gt;
                  &lt;p class='marquee'&gt;",E2,"&lt;/p&gt;",
IF(H2="Yes","									&lt;img src='assets/CaCRequired.png'  title='A CAC is required to use some or all features of this site!' Class='cacLocked'&gt;
",""),IF(G2="Yes","									&lt;img src='assets/DODlock.png' title='This Site requires a DoD network connection to be used!' Class='dodLocked'&gt;
",""),"
                  &lt;img src='assets/",D2,"' class='cardImage' loading='lazy'&gt;
                &lt;/div&gt;
                &lt;div class='title'&gt;
                  &lt;span&gt;",A2,"&lt;/span&gt;
                &lt;/div&gt;
              &lt;/div&gt;
            &lt;/div&gt;
          &lt;/a&gt;
        &lt;/div&gt;")</calculatedColumnFormula>
    </tableColumn>
    <tableColumn id="21" xr3:uid="{87275079-B5C9-403E-921E-3A9234E701AC}" name="Links Listed card" dataDxfId="10">
      <calculatedColumnFormula>CONCATENATE("    &lt;details class='noSpacing'&gt;&lt;!-- ",Table1[[#This Row],[Site]]," - ",Table1[[#This Row],[URL]]," --&gt;
      &lt;summary&gt;• &lt;a href='",Table1[[#This Row],[URL]],"' rel='noopener noreferrer'&gt;",Table1[[#This Row],[Site]]," - ",Table1[[#This Row],[URL]],"&lt;/a&gt;&lt;/summary&gt;
      &lt;p&gt;",Table1[[#This Row],[Description]],"&lt;/p&gt;
    &lt;/details&gt;")</calculatedColumnFormula>
    </tableColumn>
    <tableColumn id="22" xr3:uid="{49447E38-E6EF-4467-AA71-DF903443FC17}" name="Site Settings Card" dataDxfId="9">
      <calculatedColumnFormula>CONCATENATE("          &lt;!-- ",B2," - ",C2," --&gt;&lt;div id='drag",F2,"' class='catAll",IF(I2="X"," catArmySites",""),IF(J2="X"," catCombatReadiness",""),IF(K2="X"," catDod",""),IF(L2="X"," catFamily",""),IF(M2="X"," catFinance",""),IF(N2="X"," catHealth",""),IF(O2="X"," catHuman",""),IF(P2="X"," catLegal",""),IF(Q2="X"," catProDev",""),IF(R2="X"," catTech",""),IF(S2="X"," catMilEd",""),IF(T2="X"," catCivEd",""),IF(U2="X"," catUsGov",""),"'&gt;&lt;div class='column hideMarquee' draggable='true' ondragstart='drag(event)' value='",F2,"' id='",F2,"'&gt;&lt;div class='armyCardContainer ssCard'&gt;&lt;div class='ssArmyCard'&gt;&lt;div&gt;&lt;p class='marquee'&gt;",E2,"&lt;/p&gt;&lt;img src='assets/",D2,"' class='ssCardImage' draggable='false' loading='lazy'&gt;&lt;/div&gt;&lt;div class='ssTitle'&gt;&lt;span id='",F2,"Title'&gt;",A2,"&lt;/span&gt;&lt;/div&gt;&lt;/div&gt;&lt;/div&gt;&lt;/div&gt;&lt;/div&gt;&lt;script&gt;var js",F2," = document.getElementById('drag",F2,"').innerHTML;&lt;/script&gt;")</calculatedColumnFormula>
    </tableColumn>
    <tableColumn id="5" xr3:uid="{C50DD629-DCB7-4D2F-952B-BD212F0228CE}" name="Site Settings JavaScript" dataDxfId="8">
      <calculatedColumnFormula>CONCATENATE("var js",Table1[[#This Row],[IDs]]," = document.getElementbyId('drag",Table1[[#This Row],[IDs]],"').innerHTML; //  ",Table1[[#This Row],[Site]])</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F872D4-0A5E-4B75-87DF-D9A20E1AB40F}" name="Table13" displayName="Table13" ref="A1:S143" totalsRowShown="0" headerRowDxfId="7">
  <autoFilter ref="A1:S143" xr:uid="{12A08B24-4B89-4516-B672-161D49C547D8}"/>
  <sortState xmlns:xlrd2="http://schemas.microsoft.com/office/spreadsheetml/2017/richdata2" ref="A2:S143">
    <sortCondition ref="A1:A143"/>
  </sortState>
  <tableColumns count="19">
    <tableColumn id="10" xr3:uid="{E42F2026-1C3E-487C-816A-4D0AA5D8D5C3}" name="Site" dataDxfId="6" dataCellStyle="Hyperlink"/>
    <tableColumn id="12" xr3:uid="{F072594C-0E61-4EF7-A78A-014D79CEF210}" name="Title Card" dataDxfId="5" dataCellStyle="Hyperlink"/>
    <tableColumn id="1" xr3:uid="{5F9843B9-3AA9-4FD4-9F5D-62DD83CBED81}" name="URL" dataCellStyle="Hyperlink"/>
    <tableColumn id="2" xr3:uid="{A4669660-CA56-4340-9EAC-4877F2B64888}" name="Description"/>
    <tableColumn id="21" xr3:uid="{F058FF6F-D240-4F20-8B0E-1527D848BDA9}" name="Image Asset"/>
    <tableColumn id="15" xr3:uid="{FF790894-22F7-463A-8004-BB3B9FBF27F3}" name="ID"/>
    <tableColumn id="3" xr3:uid="{49C87FCC-6A2D-42E6-A301-25B819B99879}" name="Veteran Affairs Health Programs"/>
    <tableColumn id="4" xr3:uid="{55DB8A26-55D8-4013-8629-FFBEAF664ACD}" name="Finding Housing"/>
    <tableColumn id="5" xr3:uid="{C61FF467-8AFA-4996-9626-4067D5AE9A3F}" name="Veteran Affairs Programs"/>
    <tableColumn id="6" xr3:uid="{FF9CC369-9E90-4A27-9C9C-4110C406E4F5}" name="USO/ other sources"/>
    <tableColumn id="7" xr3:uid="{CE785C67-D19D-40BC-B33A-0F7D7301C754}" name="Career Preporation"/>
    <tableColumn id="14" xr3:uid="{9EA6E661-124B-4C53-B18D-89B7D6BCB9EB}" name="Continued Education"/>
    <tableColumn id="8" xr3:uid="{B20075F5-1294-47C3-8FBA-DFF1C30251F2}" name="Supporting Yourself and Your Family"/>
    <tableColumn id="9" xr3:uid="{1C702F3C-605C-4A6C-A58E-63FAA2685AD9}" name="Before You ETS"/>
    <tableColumn id="16" xr3:uid="{D83CB806-1E7F-4B9A-AD50-D15DAD004E0A}" name="JavaScript varable declearion" dataDxfId="4">
      <calculatedColumnFormula>CONCATENATE("var js",Table13[[#This Row],[ID]]," = document.getElementbyId('",Table13[[#This Row],[ID]],"').innerHTML; //  ",Table13[[#This Row],[Site]])</calculatedColumnFormula>
    </tableColumn>
    <tableColumn id="17" xr3:uid="{6DB5A0FB-99CD-4B48-8E3A-7B2E81C6FA53}" name="HTML Card" dataDxfId="3">
      <calculatedColumnFormula>CONCATENATE("        &lt;!--",A2," - ",C2," --&gt;&lt;div class='column catAll",IF(I2="X"," catArmySites",""),IF(J2="X"," catCombatReadiness",""),IF(K2="X"," catDod",""),IF(M2="X"," catFamily",""),IF(N2="X"," catFinance",""),IF(O2="X"," catHealth",""),IF(P2="X"," catHuman",""),IF(Q2="X"," catLegal",""),IF(R2="X"," catProDev",""),IF(S2="X"," catTech",""),IF(T2="X"," catMilEd",""),IF(U2="X"," catCivEd",""),IF(V2="X"," catUsGov",""),"' style='margin-bottom: 0px;' id='",F2,"'&gt;&lt;a href='",C2,"' rel='noopener noreferrer' class='column hideMarquee'&gt;&lt;div class='armyCardContainer card'&gt;&lt;div class='armyCard'&gt;&lt;div&gt;&lt;p class='marquee'&gt;",D2,"&lt;/p&gt;",IF(H2="Yes","&lt;img src='assets/CaCRequired.png' title='A CAC is required to use some or all features of this site!' Class='cacLocked'&gt;",""),IF(G2="Yes","&lt;img src='assets/DODlock.png' title='This Site requires a DoD network connection to be used!' Class='dodLocked'&gt;",""),"&lt;img src='assets/",#REF!,"' class='cardImage' loading='lazy'&gt;&lt;/div&gt;&lt;div class='title'&gt;&lt;span&gt;",A2,"&lt;/span&gt;&lt;/div&gt;&lt;/div&gt;&lt;/div&gt;&lt;/a&gt;&lt;/div&gt;&lt;script&gt;var js",F2," = document.getElementById('",F2,"').innerHTML;&lt;/script&gt;")</calculatedColumnFormula>
    </tableColumn>
    <tableColumn id="18" xr3:uid="{49A4762D-5950-41D6-B0E5-6BFF62A98B03}" name="Links Listed card" dataDxfId="2">
      <calculatedColumnFormula>CONCATENATE("    &lt;details class='noSpacing'&gt;&lt;!-- ",A2," - ",C2," --&gt;
      &lt;summary&gt;• &lt;a href='",C2,"' rel='noopener noreferrer'&gt;",A2," - ",C2,"&lt;/a&gt;&lt;/summary&gt;
      &lt;p&gt;",D2,"&lt;/p&gt;
    &lt;/details&gt;")</calculatedColumnFormula>
    </tableColumn>
    <tableColumn id="19" xr3:uid="{D02B833A-A421-4C61-838E-2659F3242936}" name="Site Settings Card" dataDxfId="1">
      <calculatedColumnFormula>CONCATENATE("          &lt;!-- ",#REF!," - ",#REF!," --&gt;&lt;div id='drag",#REF!,"' class='catAll",IF(#REF!="X"," catArmySites",""),IF(A2="X"," catCombatReadiness",""),IF(B2="X"," catDod",""),IF(C2="X"," catFamily",""),IF(#REF!="X"," catFinance",""),IF(D2="X"," catHealth",""),IF(F2="X"," catHuman",""),IF(G2="X"," catLegal",""),IF(H2="X"," catProDev",""),IF(I2="X"," catTech",""),IF(J2="X"," catMilEd",""),IF(K2="X"," catCivEd",""),IF(M2="X","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calculatedColumnFormula>
    </tableColumn>
    <tableColumn id="20" xr3:uid="{80C0875A-F803-4ED5-A825-E21EBA520FA2}" name="Site Settings JavaScript" dataDxfId="0">
      <calculatedColumnFormula>CONCATENATE("var js",#REF!," = document.getElementbyId('drag",#REF!,"').innerHTML; //  ",#REF!)</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awf.eb.mil/" TargetMode="External"/><Relationship Id="rId21" Type="http://schemas.openxmlformats.org/officeDocument/2006/relationships/hyperlink" Target="https://www.mods.army.mil/" TargetMode="External"/><Relationship Id="rId42" Type="http://schemas.openxmlformats.org/officeDocument/2006/relationships/hyperlink" Target="https://netcom.army.mil/MARS/default.aspx" TargetMode="External"/><Relationship Id="rId63" Type="http://schemas.openxmlformats.org/officeDocument/2006/relationships/hyperlink" Target="https://ism.army.mil/ism/guest/login.jsp" TargetMode="External"/><Relationship Id="rId84" Type="http://schemas.openxmlformats.org/officeDocument/2006/relationships/hyperlink" Target="https://hr.ippsa.army.mil/bi/stp/self" TargetMode="External"/><Relationship Id="rId138" Type="http://schemas.openxmlformats.org/officeDocument/2006/relationships/hyperlink" Target="https://www.dtra.mil/" TargetMode="External"/><Relationship Id="rId159" Type="http://schemas.openxmlformats.org/officeDocument/2006/relationships/hyperlink" Target="https://utap.army.mil/" TargetMode="External"/><Relationship Id="rId107" Type="http://schemas.openxmlformats.org/officeDocument/2006/relationships/hyperlink" Target="https://alu.army.mil/alog/" TargetMode="External"/><Relationship Id="rId11" Type="http://schemas.openxmlformats.org/officeDocument/2006/relationships/hyperlink" Target="https://atc.us.army.mil/iastar/" TargetMode="External"/><Relationship Id="rId32" Type="http://schemas.openxmlformats.org/officeDocument/2006/relationships/hyperlink" Target="https://www.cid.army.mil/" TargetMode="External"/><Relationship Id="rId53" Type="http://schemas.openxmlformats.org/officeDocument/2006/relationships/hyperlink" Target="https://www.ohome.apps.mil/launch/excel?domain_hint=army.mil" TargetMode="External"/><Relationship Id="rId74" Type="http://schemas.openxmlformats.org/officeDocument/2006/relationships/hyperlink" Target="https://www.spi.dod.mil/lipose.htm" TargetMode="External"/><Relationship Id="rId128" Type="http://schemas.openxmlformats.org/officeDocument/2006/relationships/hyperlink" Target="https://dapmis.hrc.army.mil/ImageAcceptProlog.action" TargetMode="External"/><Relationship Id="rId149" Type="http://schemas.openxmlformats.org/officeDocument/2006/relationships/hyperlink" Target="https://eflipl.army.mil/" TargetMode="External"/><Relationship Id="rId5" Type="http://schemas.openxmlformats.org/officeDocument/2006/relationships/hyperlink" Target="https://vsfrg.armyfamilywebportal.com/" TargetMode="External"/><Relationship Id="rId95" Type="http://schemas.openxmlformats.org/officeDocument/2006/relationships/hyperlink" Target="https://www.hrc.army.mil/content/Officer%20and%20WO%20Selections%20and%20Promotions" TargetMode="External"/><Relationship Id="rId160" Type="http://schemas.openxmlformats.org/officeDocument/2006/relationships/hyperlink" Target="https://www.dcsa.mil/Systems-Applications/Defense-Information-System-for-Security-DISS/" TargetMode="External"/><Relationship Id="rId22" Type="http://schemas.openxmlformats.org/officeDocument/2006/relationships/hyperlink" Target="https://patientportal.mhsgenesis.health.mil/" TargetMode="External"/><Relationship Id="rId43" Type="http://schemas.openxmlformats.org/officeDocument/2006/relationships/hyperlink" Target="https://vios.army.mil/" TargetMode="External"/><Relationship Id="rId64" Type="http://schemas.openxmlformats.org/officeDocument/2006/relationships/hyperlink" Target="https://acsstaff.armyfamilywebportal.com/" TargetMode="External"/><Relationship Id="rId118" Type="http://schemas.openxmlformats.org/officeDocument/2006/relationships/hyperlink" Target="https://www.psmagazine.army.mil/" TargetMode="External"/><Relationship Id="rId139" Type="http://schemas.openxmlformats.org/officeDocument/2006/relationships/hyperlink" Target="https://www.goarmy.com/jag.html" TargetMode="External"/><Relationship Id="rId85" Type="http://schemas.openxmlformats.org/officeDocument/2006/relationships/hyperlink" Target="https://hr.ippsa.army.mil/psc/hcpdc/EMPLOYEE/HRMS/c/IP_PHYSICAL_PROFILE.IP_PP_PHYSICAL_FL.GBL" TargetMode="External"/><Relationship Id="rId150" Type="http://schemas.openxmlformats.org/officeDocument/2006/relationships/hyperlink" Target="https://www.ebenefits.va.gov/ebenefits" TargetMode="External"/><Relationship Id="rId12" Type="http://schemas.openxmlformats.org/officeDocument/2006/relationships/hyperlink" Target="https://atn.army.mil/" TargetMode="External"/><Relationship Id="rId17" Type="http://schemas.openxmlformats.org/officeDocument/2006/relationships/hyperlink" Target="https://army.deps.mil/netcom/sites/GEARS/Live" TargetMode="External"/><Relationship Id="rId33" Type="http://schemas.openxmlformats.org/officeDocument/2006/relationships/hyperlink" Target="https://usacac.army.mil/" TargetMode="External"/><Relationship Id="rId38" Type="http://schemas.openxmlformats.org/officeDocument/2006/relationships/hyperlink" Target="https://webmail.apps.mil/owa/?domain_hint=army.mil" TargetMode="External"/><Relationship Id="rId59" Type="http://schemas.openxmlformats.org/officeDocument/2006/relationships/hyperlink" Target="https://www.tricare-overseas.com/" TargetMode="External"/><Relationship Id="rId103" Type="http://schemas.openxmlformats.org/officeDocument/2006/relationships/hyperlink" Target="https://www.milsuite.mil/book/community/spaces/ai2" TargetMode="External"/><Relationship Id="rId108" Type="http://schemas.openxmlformats.org/officeDocument/2006/relationships/hyperlink" Target="https://www.atis.army.mil/Index.html" TargetMode="External"/><Relationship Id="rId124" Type="http://schemas.openxmlformats.org/officeDocument/2006/relationships/hyperlink" Target="https://chess.army.mil/" TargetMode="External"/><Relationship Id="rId129" Type="http://schemas.openxmlformats.org/officeDocument/2006/relationships/hyperlink" Target="https://business.dla.mil/landing/index.html" TargetMode="External"/><Relationship Id="rId54" Type="http://schemas.openxmlformats.org/officeDocument/2006/relationships/hyperlink" Target="https://www.ohome.apps.mil/launch/word?domain_hint=army.mil" TargetMode="External"/><Relationship Id="rId70" Type="http://schemas.openxmlformats.org/officeDocument/2006/relationships/hyperlink" Target="https://tasks.osi.apps.mil/armyeitaas.onmicrosoft.us/en-US/Home/Planner/" TargetMode="External"/><Relationship Id="rId75" Type="http://schemas.openxmlformats.org/officeDocument/2006/relationships/hyperlink" Target="https://icamportal.us.army.mil/" TargetMode="External"/><Relationship Id="rId91" Type="http://schemas.openxmlformats.org/officeDocument/2006/relationships/hyperlink" Target="https://yellowribbon.mil/" TargetMode="External"/><Relationship Id="rId96" Type="http://schemas.openxmlformats.org/officeDocument/2006/relationships/hyperlink" Target="https://gfebs.army.mil/" TargetMode="External"/><Relationship Id="rId140" Type="http://schemas.openxmlformats.org/officeDocument/2006/relationships/hyperlink" Target="https://health.mil/jmesi" TargetMode="External"/><Relationship Id="rId145" Type="http://schemas.openxmlformats.org/officeDocument/2006/relationships/hyperlink" Target="https://safe.apps.mil/" TargetMode="External"/><Relationship Id="rId161" Type="http://schemas.openxmlformats.org/officeDocument/2006/relationships/hyperlink" Target="https://fmsweb.fms.army.mil/unprotected/splash/" TargetMode="External"/><Relationship Id="rId1" Type="http://schemas.openxmlformats.org/officeDocument/2006/relationships/hyperlink" Target="https://cms.mods.army.mil/cms/" TargetMode="External"/><Relationship Id="rId6" Type="http://schemas.openxmlformats.org/officeDocument/2006/relationships/hyperlink" Target="https://www.housing.army.mil/" TargetMode="External"/><Relationship Id="rId23" Type="http://schemas.openxmlformats.org/officeDocument/2006/relationships/hyperlink" Target="https://myerb.ahrs.army.mil/soldierLogin.do" TargetMode="External"/><Relationship Id="rId28" Type="http://schemas.openxmlformats.org/officeDocument/2006/relationships/hyperlink" Target="https://www.fvap.gov/" TargetMode="External"/><Relationship Id="rId49" Type="http://schemas.openxmlformats.org/officeDocument/2006/relationships/hyperlink" Target="https://my.move.mil/" TargetMode="External"/><Relationship Id="rId114" Type="http://schemas.openxmlformats.org/officeDocument/2006/relationships/hyperlink" Target="https://soldierforlife.army.mil/" TargetMode="External"/><Relationship Id="rId119" Type="http://schemas.openxmlformats.org/officeDocument/2006/relationships/hyperlink" Target="https://www.opm.gov/" TargetMode="External"/><Relationship Id="rId44" Type="http://schemas.openxmlformats.org/officeDocument/2006/relationships/hyperlink" Target="https://www.milsuite.mil/book/community/spaces/apf/s1net" TargetMode="External"/><Relationship Id="rId60" Type="http://schemas.openxmlformats.org/officeDocument/2006/relationships/hyperlink" Target="https://rfmss.belvoir.army.mil/" TargetMode="External"/><Relationship Id="rId65" Type="http://schemas.openxmlformats.org/officeDocument/2006/relationships/hyperlink" Target="https://imc.army.mil/airs/" TargetMode="External"/><Relationship Id="rId81" Type="http://schemas.openxmlformats.org/officeDocument/2006/relationships/hyperlink" Target="https://www.usa.esms.army.mil/" TargetMode="External"/><Relationship Id="rId86" Type="http://schemas.openxmlformats.org/officeDocument/2006/relationships/hyperlink" Target="https://benefits.gov/" TargetMode="External"/><Relationship Id="rId130" Type="http://schemas.openxmlformats.org/officeDocument/2006/relationships/hyperlink" Target="https://disa.deps.mil/ext/cop/mae/SitePages/Programs.aspx" TargetMode="External"/><Relationship Id="rId135" Type="http://schemas.openxmlformats.org/officeDocument/2006/relationships/hyperlink" Target="https://public.militarychildcare.csd.disa.mil/mccu/ui/" TargetMode="External"/><Relationship Id="rId151" Type="http://schemas.openxmlformats.org/officeDocument/2006/relationships/hyperlink" Target="https://capl.army.mil/" TargetMode="External"/><Relationship Id="rId156" Type="http://schemas.openxmlformats.org/officeDocument/2006/relationships/hyperlink" Target="https://armyeitaas-my.sharepoint-mil.us/" TargetMode="External"/><Relationship Id="rId13" Type="http://schemas.openxmlformats.org/officeDocument/2006/relationships/hyperlink" Target="https://veterinarycorps.amedd.army.mil/" TargetMode="External"/><Relationship Id="rId18" Type="http://schemas.openxmlformats.org/officeDocument/2006/relationships/hyperlink" Target="https://iperms.hrc.army.mil/" TargetMode="External"/><Relationship Id="rId39" Type="http://schemas.openxmlformats.org/officeDocument/2006/relationships/hyperlink" Target="https://ataaps.csd.disa.mil/" TargetMode="External"/><Relationship Id="rId109" Type="http://schemas.openxmlformats.org/officeDocument/2006/relationships/hyperlink" Target="https://usmap.osd.mil/index.htm" TargetMode="External"/><Relationship Id="rId34" Type="http://schemas.openxmlformats.org/officeDocument/2006/relationships/hyperlink" Target="https://apps.asc.army.mil/camp" TargetMode="External"/><Relationship Id="rId50" Type="http://schemas.openxmlformats.org/officeDocument/2006/relationships/hyperlink" Target="https://discover.dtic.mil/" TargetMode="External"/><Relationship Id="rId55" Type="http://schemas.openxmlformats.org/officeDocument/2006/relationships/hyperlink" Target="https://www.ohome.apps.mil/?domain_hint=army.mil" TargetMode="External"/><Relationship Id="rId76" Type="http://schemas.openxmlformats.org/officeDocument/2006/relationships/hyperlink" Target="https://weather.af.mil/" TargetMode="External"/><Relationship Id="rId97" Type="http://schemas.openxmlformats.org/officeDocument/2006/relationships/hyperlink" Target="https://www.emh.housing.navy.mil/" TargetMode="External"/><Relationship Id="rId104" Type="http://schemas.openxmlformats.org/officeDocument/2006/relationships/hyperlink" Target="https://www.armymaintenance.com/arma" TargetMode="External"/><Relationship Id="rId120" Type="http://schemas.openxmlformats.org/officeDocument/2006/relationships/hyperlink" Target="https://www.ncoworldwide.army.mil/" TargetMode="External"/><Relationship Id="rId125" Type="http://schemas.openxmlformats.org/officeDocument/2006/relationships/hyperlink" Target="https://dtms.army.mil/" TargetMode="External"/><Relationship Id="rId141" Type="http://schemas.openxmlformats.org/officeDocument/2006/relationships/hyperlink" Target="https://gko.portal.ng.mil/SitePages/Home.aspx" TargetMode="External"/><Relationship Id="rId146" Type="http://schemas.openxmlformats.org/officeDocument/2006/relationships/hyperlink" Target="https://fmsweb.army.mil/" TargetMode="External"/><Relationship Id="rId7" Type="http://schemas.openxmlformats.org/officeDocument/2006/relationships/hyperlink" Target="https://arngg1.ngb.army.mil/v3/SelfService/CareerCenter/Home.aspx" TargetMode="External"/><Relationship Id="rId71" Type="http://schemas.openxmlformats.org/officeDocument/2006/relationships/hyperlink" Target="https://hr.ippsa.army.mil/psp/hcpdc/?cmd=login" TargetMode="External"/><Relationship Id="rId92" Type="http://schemas.openxmlformats.org/officeDocument/2006/relationships/hyperlink" Target="https://va.gov/" TargetMode="External"/><Relationship Id="rId162" Type="http://schemas.openxmlformats.org/officeDocument/2006/relationships/hyperlink" Target="https://hr.ippsa.army.mil/psc/hcpdc_newwin/EMPLOYEE/HRMS/c/IP_SS_PYE_ELM.IP_PYE_ELM_SRCH_FL.GBL" TargetMode="External"/><Relationship Id="rId2" Type="http://schemas.openxmlformats.org/officeDocument/2006/relationships/hyperlink" Target="https://disa.mil/Cybersecurity/Network-Defense/Antivirus/Home-Use" TargetMode="External"/><Relationship Id="rId29" Type="http://schemas.openxmlformats.org/officeDocument/2006/relationships/hyperlink" Target="https://www.tricare.mil/DEERS/" TargetMode="External"/><Relationship Id="rId24" Type="http://schemas.openxmlformats.org/officeDocument/2006/relationships/hyperlink" Target="https://medpros.mods.army.mil/portal" TargetMode="External"/><Relationship Id="rId40" Type="http://schemas.openxmlformats.org/officeDocument/2006/relationships/hyperlink" Target="https://netcom.army.mil/" TargetMode="External"/><Relationship Id="rId45" Type="http://schemas.openxmlformats.org/officeDocument/2006/relationships/hyperlink" Target="https://lt-apps-priv.dfas.mil/ucfr/" TargetMode="External"/><Relationship Id="rId66" Type="http://schemas.openxmlformats.org/officeDocument/2006/relationships/hyperlink" Target="https://asmis.safety.army.mil/" TargetMode="External"/><Relationship Id="rId87" Type="http://schemas.openxmlformats.org/officeDocument/2006/relationships/hyperlink" Target="https://selfservice.rcms.usar.army.mil/SelfService/home/selfservice" TargetMode="External"/><Relationship Id="rId110" Type="http://schemas.openxmlformats.org/officeDocument/2006/relationships/hyperlink" Target="https://legalassistance.law.af.mil/" TargetMode="External"/><Relationship Id="rId115" Type="http://schemas.openxmlformats.org/officeDocument/2006/relationships/hyperlink" Target="https://www.peosoldier.army.mil/SEP/" TargetMode="External"/><Relationship Id="rId131" Type="http://schemas.openxmlformats.org/officeDocument/2006/relationships/hyperlink" Target="https://www.dfas.mil/" TargetMode="External"/><Relationship Id="rId136" Type="http://schemas.openxmlformats.org/officeDocument/2006/relationships/hyperlink" Target="https://medlineplus.gov/n" TargetMode="External"/><Relationship Id="rId157" Type="http://schemas.openxmlformats.org/officeDocument/2006/relationships/hyperlink" Target="https://portal.azure.us/?domain_hint=army.mil" TargetMode="External"/><Relationship Id="rId61" Type="http://schemas.openxmlformats.org/officeDocument/2006/relationships/hyperlink" Target="https://www.ncolcoe.army.mil/" TargetMode="External"/><Relationship Id="rId82" Type="http://schemas.openxmlformats.org/officeDocument/2006/relationships/hyperlink" Target="https://www.usar.army.mil/CSF/" TargetMode="External"/><Relationship Id="rId152" Type="http://schemas.openxmlformats.org/officeDocument/2006/relationships/hyperlink" Target="https://portal.apps.deas.mil/" TargetMode="External"/><Relationship Id="rId19" Type="http://schemas.openxmlformats.org/officeDocument/2006/relationships/hyperlink" Target="https://jagu.army.mil/" TargetMode="External"/><Relationship Id="rId14" Type="http://schemas.openxmlformats.org/officeDocument/2006/relationships/hyperlink" Target="https://www.defensetravel.dod.mil/" TargetMode="External"/><Relationship Id="rId30" Type="http://schemas.openxmlformats.org/officeDocument/2006/relationships/hyperlink" Target="https://www.militaryonesource.mil/" TargetMode="External"/><Relationship Id="rId35" Type="http://schemas.openxmlformats.org/officeDocument/2006/relationships/hyperlink" Target="https://www.dau.mil/" TargetMode="External"/><Relationship Id="rId56" Type="http://schemas.openxmlformats.org/officeDocument/2006/relationships/hyperlink" Target="https://www.gcss-army.army.mil/irj/portal" TargetMode="External"/><Relationship Id="rId77" Type="http://schemas.openxmlformats.org/officeDocument/2006/relationships/hyperlink" Target="https://login.aesip.army.mil/" TargetMode="External"/><Relationship Id="rId100" Type="http://schemas.openxmlformats.org/officeDocument/2006/relationships/hyperlink" Target="https://army.deps.mil/army/sites/PMG/prog/ATEP/default.aspx" TargetMode="External"/><Relationship Id="rId105" Type="http://schemas.openxmlformats.org/officeDocument/2006/relationships/hyperlink" Target="https://www.arims.army.mil/arims/Login.aspx" TargetMode="External"/><Relationship Id="rId126" Type="http://schemas.openxmlformats.org/officeDocument/2006/relationships/hyperlink" Target="https://www.atis.army.mil/DTF.html" TargetMode="External"/><Relationship Id="rId147" Type="http://schemas.openxmlformats.org/officeDocument/2006/relationships/hyperlink" Target="https://www.fdm.army.mil/" TargetMode="External"/><Relationship Id="rId8" Type="http://schemas.openxmlformats.org/officeDocument/2006/relationships/hyperlink" Target="https://phc.amedd.army.mil/Pages/default.aspx/" TargetMode="External"/><Relationship Id="rId51" Type="http://schemas.openxmlformats.org/officeDocument/2006/relationships/hyperlink" Target="https://home.army.mil/wood/index.php/units-tenants/USACBRNS" TargetMode="External"/><Relationship Id="rId72" Type="http://schemas.openxmlformats.org/officeDocument/2006/relationships/hyperlink" Target="https://milconnect.dmdc.osd.mil/milconnect/" TargetMode="External"/><Relationship Id="rId93" Type="http://schemas.openxmlformats.org/officeDocument/2006/relationships/hyperlink" Target="https://tsp.gov/" TargetMode="External"/><Relationship Id="rId98" Type="http://schemas.openxmlformats.org/officeDocument/2006/relationships/hyperlink" Target="https://www.cwtsatotravel.com/home.html" TargetMode="External"/><Relationship Id="rId121" Type="http://schemas.openxmlformats.org/officeDocument/2006/relationships/hyperlink" Target="https://atiam.train.army.mil/mthp/" TargetMode="External"/><Relationship Id="rId142" Type="http://schemas.openxmlformats.org/officeDocument/2006/relationships/hyperlink" Target="https://grat.safety.army.mil/GRAT/" TargetMode="External"/><Relationship Id="rId163" Type="http://schemas.openxmlformats.org/officeDocument/2006/relationships/hyperlink" Target="https://teams.microsoft.com/?domain_hint=army.mil" TargetMode="External"/><Relationship Id="rId3" Type="http://schemas.openxmlformats.org/officeDocument/2006/relationships/hyperlink" Target="https://www.cool.osd.mil/army/" TargetMode="External"/><Relationship Id="rId25" Type="http://schemas.openxmlformats.org/officeDocument/2006/relationships/hyperlink" Target="https://aim.hrc.army.mil/" TargetMode="External"/><Relationship Id="rId46" Type="http://schemas.openxmlformats.org/officeDocument/2006/relationships/hyperlink" Target="https://lwn.army.mil/" TargetMode="External"/><Relationship Id="rId67" Type="http://schemas.openxmlformats.org/officeDocument/2006/relationships/hyperlink" Target="https://www.usar.army.mil/DHAP/" TargetMode="External"/><Relationship Id="rId116" Type="http://schemas.openxmlformats.org/officeDocument/2006/relationships/hyperlink" Target="https://pixtoday.net/" TargetMode="External"/><Relationship Id="rId137" Type="http://schemas.openxmlformats.org/officeDocument/2006/relationships/hyperlink" Target="https://lhi.care/start/" TargetMode="External"/><Relationship Id="rId158" Type="http://schemas.openxmlformats.org/officeDocument/2006/relationships/hyperlink" Target="https://armyresilience.army.mil/abcp/BodyFatCalculator.html" TargetMode="External"/><Relationship Id="rId20" Type="http://schemas.openxmlformats.org/officeDocument/2006/relationships/hyperlink" Target="https://jrat.safety.army.mil/" TargetMode="External"/><Relationship Id="rId41" Type="http://schemas.openxmlformats.org/officeDocument/2006/relationships/hyperlink" Target="https://www.inscom.army.mil/isalute/" TargetMode="External"/><Relationship Id="rId62" Type="http://schemas.openxmlformats.org/officeDocument/2006/relationships/hyperlink" Target="https://ent.ldac.army.mil/etmapp/" TargetMode="External"/><Relationship Id="rId83" Type="http://schemas.openxmlformats.org/officeDocument/2006/relationships/hyperlink" Target="https://ready.army.mil/" TargetMode="External"/><Relationship Id="rId88" Type="http://schemas.openxmlformats.org/officeDocument/2006/relationships/hyperlink" Target="https://rc.mods.army.mil/MHA/pdha/DHADeploymentCheck.aspx" TargetMode="External"/><Relationship Id="rId111" Type="http://schemas.openxmlformats.org/officeDocument/2006/relationships/hyperlink" Target="https://www.mdwhome.mdw.army.mil/sja/trial-defense" TargetMode="External"/><Relationship Id="rId132" Type="http://schemas.openxmlformats.org/officeDocument/2006/relationships/hyperlink" Target="https://dcips.defense.gov/" TargetMode="External"/><Relationship Id="rId153" Type="http://schemas.openxmlformats.org/officeDocument/2006/relationships/hyperlink" Target="https://ig.army.mil/" TargetMode="External"/><Relationship Id="rId15" Type="http://schemas.openxmlformats.org/officeDocument/2006/relationships/hyperlink" Target="https://www.defensetravel.osd.mil/" TargetMode="External"/><Relationship Id="rId36" Type="http://schemas.openxmlformats.org/officeDocument/2006/relationships/hyperlink" Target="https://compo.dcpds.cpms.osd.mil/" TargetMode="External"/><Relationship Id="rId57" Type="http://schemas.openxmlformats.org/officeDocument/2006/relationships/hyperlink" Target="https://srp.army.mil/" TargetMode="External"/><Relationship Id="rId106" Type="http://schemas.openxmlformats.org/officeDocument/2006/relationships/hyperlink" Target="https://usarmy.percipio.com/login?state=%2F" TargetMode="External"/><Relationship Id="rId127" Type="http://schemas.openxmlformats.org/officeDocument/2006/relationships/hyperlink" Target="https://www.atis.army.mil/DDTC.html" TargetMode="External"/><Relationship Id="rId10" Type="http://schemas.openxmlformats.org/officeDocument/2006/relationships/hyperlink" Target="https://earap.safety.army.mil/" TargetMode="External"/><Relationship Id="rId31" Type="http://schemas.openxmlformats.org/officeDocument/2006/relationships/hyperlink" Target="https://asc.army.mil/web/" TargetMode="External"/><Relationship Id="rId52" Type="http://schemas.openxmlformats.org/officeDocument/2006/relationships/hyperlink" Target="https://www.ohome.apps.mil/launch/powerpoint?domain_hint=army.mil" TargetMode="External"/><Relationship Id="rId73" Type="http://schemas.openxmlformats.org/officeDocument/2006/relationships/hyperlink" Target="https://milgaming.army.mil/" TargetMode="External"/><Relationship Id="rId78" Type="http://schemas.openxmlformats.org/officeDocument/2006/relationships/hyperlink" Target="https://aramp.usar.army.mil/" TargetMode="External"/><Relationship Id="rId94" Type="http://schemas.openxmlformats.org/officeDocument/2006/relationships/hyperlink" Target="https://www.milsuite.mil/book/docs/DOC-101393" TargetMode="External"/><Relationship Id="rId99" Type="http://schemas.openxmlformats.org/officeDocument/2006/relationships/hyperlink" Target="https://skillbridge.osd.mil/" TargetMode="External"/><Relationship Id="rId101" Type="http://schemas.openxmlformats.org/officeDocument/2006/relationships/hyperlink" Target="https://wr.acpol.army.mil/abc/" TargetMode="External"/><Relationship Id="rId122" Type="http://schemas.openxmlformats.org/officeDocument/2006/relationships/hyperlink" Target="https://mobcop.aoc.army.pentagon.mil/" TargetMode="External"/><Relationship Id="rId143" Type="http://schemas.openxmlformats.org/officeDocument/2006/relationships/hyperlink" Target="https://gtg.usarmyrotc.com/" TargetMode="External"/><Relationship Id="rId148" Type="http://schemas.openxmlformats.org/officeDocument/2006/relationships/hyperlink" Target="https://www.fedmall.mil/index.html" TargetMode="External"/><Relationship Id="rId164" Type="http://schemas.openxmlformats.org/officeDocument/2006/relationships/printerSettings" Target="../printerSettings/printerSettings1.bin"/><Relationship Id="rId4" Type="http://schemas.openxmlformats.org/officeDocument/2006/relationships/hyperlink" Target="https://snpro.aesd-w.army.mil/" TargetMode="External"/><Relationship Id="rId9" Type="http://schemas.openxmlformats.org/officeDocument/2006/relationships/hyperlink" Target="https://armypubs.army.mil/" TargetMode="External"/><Relationship Id="rId26" Type="http://schemas.openxmlformats.org/officeDocument/2006/relationships/hyperlink" Target="https://mypay.dfas.mil/mypay.aspx" TargetMode="External"/><Relationship Id="rId47" Type="http://schemas.openxmlformats.org/officeDocument/2006/relationships/hyperlink" Target="http://www.cac.mil/" TargetMode="External"/><Relationship Id="rId68" Type="http://schemas.openxmlformats.org/officeDocument/2006/relationships/hyperlink" Target="https://dots.dodiis.mil/" TargetMode="External"/><Relationship Id="rId89" Type="http://schemas.openxmlformats.org/officeDocument/2006/relationships/hyperlink" Target="https://redcross.org/get-help/military-families/emergency-communication.html" TargetMode="External"/><Relationship Id="rId112" Type="http://schemas.openxmlformats.org/officeDocument/2006/relationships/hyperlink" Target="https://www.armytap.army.mil/" TargetMode="External"/><Relationship Id="rId133" Type="http://schemas.openxmlformats.org/officeDocument/2006/relationships/hyperlink" Target="https://myarmybenefits.us.army.mil/" TargetMode="External"/><Relationship Id="rId154" Type="http://schemas.openxmlformats.org/officeDocument/2006/relationships/hyperlink" Target="https://www.dodig.mil/" TargetMode="External"/><Relationship Id="rId16" Type="http://schemas.openxmlformats.org/officeDocument/2006/relationships/hyperlink" Target="https://emilpo.ahrs.army.mil/" TargetMode="External"/><Relationship Id="rId37" Type="http://schemas.openxmlformats.org/officeDocument/2006/relationships/hyperlink" Target="https://dwp.dmdc.osd.mil/dwp/app/main" TargetMode="External"/><Relationship Id="rId58" Type="http://schemas.openxmlformats.org/officeDocument/2006/relationships/hyperlink" Target="https://tricare.mil/" TargetMode="External"/><Relationship Id="rId79" Type="http://schemas.openxmlformats.org/officeDocument/2006/relationships/hyperlink" Target="https://www.armyresilience.army.mil/" TargetMode="External"/><Relationship Id="rId102" Type="http://schemas.openxmlformats.org/officeDocument/2006/relationships/hyperlink" Target="https://www.armyemergencyrelief.org/" TargetMode="External"/><Relationship Id="rId123" Type="http://schemas.openxmlformats.org/officeDocument/2006/relationships/hyperlink" Target="https://atiam.train.army.mil/catalog/dashboard" TargetMode="External"/><Relationship Id="rId144" Type="http://schemas.openxmlformats.org/officeDocument/2006/relationships/hyperlink" Target="https://www.esd.whs.mil/Directives/forms/" TargetMode="External"/><Relationship Id="rId90" Type="http://schemas.openxmlformats.org/officeDocument/2006/relationships/hyperlink" Target="https://redcross.org/" TargetMode="External"/><Relationship Id="rId165" Type="http://schemas.openxmlformats.org/officeDocument/2006/relationships/table" Target="../tables/table1.xml"/><Relationship Id="rId27" Type="http://schemas.openxmlformats.org/officeDocument/2006/relationships/hyperlink" Target="https://www.ask.army.mil/ask" TargetMode="External"/><Relationship Id="rId48" Type="http://schemas.openxmlformats.org/officeDocument/2006/relationships/hyperlink" Target="http://www.tricareonline.com/" TargetMode="External"/><Relationship Id="rId69" Type="http://schemas.openxmlformats.org/officeDocument/2006/relationships/hyperlink" Target="https://onenote.osi.apps.mil/notebooks?domain_hint=army.mil" TargetMode="External"/><Relationship Id="rId113" Type="http://schemas.openxmlformats.org/officeDocument/2006/relationships/hyperlink" Target="https://www.armymwr.com/programs-and-services/personal-assistance/survivor-outreach" TargetMode="External"/><Relationship Id="rId134" Type="http://schemas.openxmlformats.org/officeDocument/2006/relationships/hyperlink" Target="https://www.atis.army.mil/MDTF.html" TargetMode="External"/><Relationship Id="rId80" Type="http://schemas.openxmlformats.org/officeDocument/2006/relationships/hyperlink" Target="https://atrrs.army.mil/" TargetMode="External"/><Relationship Id="rId155" Type="http://schemas.openxmlformats.org/officeDocument/2006/relationships/hyperlink" Target="https://arngg1.ngb.army.mil/v3/SelfService/Careercenter/RBMain.aspx"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www.sba.gov/local" TargetMode="External"/><Relationship Id="rId21" Type="http://schemas.openxmlformats.org/officeDocument/2006/relationships/hyperlink" Target="http://www.ptsd.va.gov/apps/decisionaid" TargetMode="External"/><Relationship Id="rId42" Type="http://schemas.openxmlformats.org/officeDocument/2006/relationships/hyperlink" Target="http://www.militaryonesource.com/" TargetMode="External"/><Relationship Id="rId63" Type="http://schemas.openxmlformats.org/officeDocument/2006/relationships/hyperlink" Target="http://www.va.gov/careers-employment/vocational-rehabilitation/apply-vre-form-28-1900/start" TargetMode="External"/><Relationship Id="rId84" Type="http://schemas.openxmlformats.org/officeDocument/2006/relationships/hyperlink" Target="http://www.va.gov/disability/dependency-indemnity-compensation" TargetMode="External"/><Relationship Id="rId138" Type="http://schemas.openxmlformats.org/officeDocument/2006/relationships/hyperlink" Target="https://www.va.gov/education/benefit-rates/montgomery-600-buy-up-rates/" TargetMode="External"/><Relationship Id="rId16" Type="http://schemas.openxmlformats.org/officeDocument/2006/relationships/hyperlink" Target="http://www.mentalhealth.va.gov/suicide_prevention" TargetMode="External"/><Relationship Id="rId107" Type="http://schemas.openxmlformats.org/officeDocument/2006/relationships/hyperlink" Target="http://www.va.gov/health-care/how-to-apply" TargetMode="External"/><Relationship Id="rId11" Type="http://schemas.openxmlformats.org/officeDocument/2006/relationships/hyperlink" Target="http://www.va.gov/healthbenefits/apps/explorer" TargetMode="External"/><Relationship Id="rId32" Type="http://schemas.openxmlformats.org/officeDocument/2006/relationships/hyperlink" Target="https://www.va.gov/health-care/health-needs-conditions/chemical-hazardous-materials-exposure" TargetMode="External"/><Relationship Id="rId37" Type="http://schemas.openxmlformats.org/officeDocument/2006/relationships/hyperlink" Target="http://www.fns.usda.gov/snap/state-directory" TargetMode="External"/><Relationship Id="rId53" Type="http://schemas.openxmlformats.org/officeDocument/2006/relationships/hyperlink" Target="https://www.benefits.va.gov/vso" TargetMode="External"/><Relationship Id="rId58" Type="http://schemas.openxmlformats.org/officeDocument/2006/relationships/hyperlink" Target="https://www.va.gov/careers-employment" TargetMode="External"/><Relationship Id="rId74" Type="http://schemas.openxmlformats.org/officeDocument/2006/relationships/hyperlink" Target="http://www.va.gov/education/survivor-dependent-benefits/dependents-education-assistance" TargetMode="External"/><Relationship Id="rId79" Type="http://schemas.openxmlformats.org/officeDocument/2006/relationships/hyperlink" Target="http://www.va.gov/education/transfer-post-9-11-gi-bill-benefits" TargetMode="External"/><Relationship Id="rId102" Type="http://schemas.openxmlformats.org/officeDocument/2006/relationships/hyperlink" Target="http://www.benefits.va.gov/tap" TargetMode="External"/><Relationship Id="rId123" Type="http://schemas.openxmlformats.org/officeDocument/2006/relationships/hyperlink" Target="https://warriorcare.dodlive.mil/" TargetMode="External"/><Relationship Id="rId128" Type="http://schemas.openxmlformats.org/officeDocument/2006/relationships/hyperlink" Target="https://cms.mods.amry.mil/" TargetMode="External"/><Relationship Id="rId5" Type="http://schemas.openxmlformats.org/officeDocument/2006/relationships/hyperlink" Target="http://www.va.gov/" TargetMode="External"/><Relationship Id="rId90" Type="http://schemas.openxmlformats.org/officeDocument/2006/relationships/hyperlink" Target="https://www.va.gov/remember" TargetMode="External"/><Relationship Id="rId95" Type="http://schemas.openxmlformats.org/officeDocument/2006/relationships/hyperlink" Target="http://www.va.gov/life-insurance/options-eligibility/fsgli" TargetMode="External"/><Relationship Id="rId22" Type="http://schemas.openxmlformats.org/officeDocument/2006/relationships/hyperlink" Target="https://www.va.gov/health-care/health-needs-conditions/mental-health/ptsd" TargetMode="External"/><Relationship Id="rId27" Type="http://schemas.openxmlformats.org/officeDocument/2006/relationships/hyperlink" Target="https://www.va.gov/family-member-benefits/comprehensive-assistance-for-family-caregivers" TargetMode="External"/><Relationship Id="rId43" Type="http://schemas.openxmlformats.org/officeDocument/2006/relationships/hyperlink" Target="http://www.va.gov/homeless" TargetMode="External"/><Relationship Id="rId48" Type="http://schemas.openxmlformats.org/officeDocument/2006/relationships/hyperlink" Target="http://www.va.gov/housing-assistance/disability-housing-grants" TargetMode="External"/><Relationship Id="rId64" Type="http://schemas.openxmlformats.org/officeDocument/2006/relationships/hyperlink" Target="http://www.va.gov/careers-employment/vocational-rehabilitation" TargetMode="External"/><Relationship Id="rId69" Type="http://schemas.openxmlformats.org/officeDocument/2006/relationships/hyperlink" Target="http://www.mentalhealth.va.gov/student-veteran/vital-program.asp" TargetMode="External"/><Relationship Id="rId113" Type="http://schemas.openxmlformats.org/officeDocument/2006/relationships/hyperlink" Target="https://www.va.gov/womenvet" TargetMode="External"/><Relationship Id="rId118" Type="http://schemas.openxmlformats.org/officeDocument/2006/relationships/hyperlink" Target="http://www.sba.gov/sba-learning-platform" TargetMode="External"/><Relationship Id="rId134" Type="http://schemas.openxmlformats.org/officeDocument/2006/relationships/hyperlink" Target="https://shopvcs.va.gov/" TargetMode="External"/><Relationship Id="rId139" Type="http://schemas.openxmlformats.org/officeDocument/2006/relationships/printerSettings" Target="../printerSettings/printerSettings2.bin"/><Relationship Id="rId80" Type="http://schemas.openxmlformats.org/officeDocument/2006/relationships/hyperlink" Target="https://www.va.gov/education" TargetMode="External"/><Relationship Id="rId85" Type="http://schemas.openxmlformats.org/officeDocument/2006/relationships/hyperlink" Target="http://www.va.gov/family-member-benefits" TargetMode="External"/><Relationship Id="rId12" Type="http://schemas.openxmlformats.org/officeDocument/2006/relationships/hyperlink" Target="http://www.va.gov/vhie" TargetMode="External"/><Relationship Id="rId17" Type="http://schemas.openxmlformats.org/officeDocument/2006/relationships/hyperlink" Target="http://www.va.gov/health/patientadvocate" TargetMode="External"/><Relationship Id="rId33" Type="http://schemas.openxmlformats.org/officeDocument/2006/relationships/hyperlink" Target="http://www.socialwork.va.gov/ipv" TargetMode="External"/><Relationship Id="rId38" Type="http://schemas.openxmlformats.org/officeDocument/2006/relationships/hyperlink" Target="https://www.va.gov/communitycare/programs/veterans/fmp" TargetMode="External"/><Relationship Id="rId59" Type="http://schemas.openxmlformats.org/officeDocument/2006/relationships/hyperlink" Target="https://www.opm.gov/fedshirevets/" TargetMode="External"/><Relationship Id="rId103" Type="http://schemas.openxmlformats.org/officeDocument/2006/relationships/hyperlink" Target="http://www.tricare.mil/" TargetMode="External"/><Relationship Id="rId108" Type="http://schemas.openxmlformats.org/officeDocument/2006/relationships/hyperlink" Target="https://www.va.gov/discharge-upgrade-instructions" TargetMode="External"/><Relationship Id="rId124" Type="http://schemas.openxmlformats.org/officeDocument/2006/relationships/hyperlink" Target="https://www.usajobs.gov/" TargetMode="External"/><Relationship Id="rId129" Type="http://schemas.openxmlformats.org/officeDocument/2006/relationships/hyperlink" Target="https://linkedin.com/" TargetMode="External"/><Relationship Id="rId54" Type="http://schemas.openxmlformats.org/officeDocument/2006/relationships/hyperlink" Target="https://www.va.gov/housing-assistance" TargetMode="External"/><Relationship Id="rId70" Type="http://schemas.openxmlformats.org/officeDocument/2006/relationships/hyperlink" Target="http://www.va.gov/gi-bill-comparison-tool" TargetMode="External"/><Relationship Id="rId75" Type="http://schemas.openxmlformats.org/officeDocument/2006/relationships/hyperlink" Target="http://www.va.gov/education/about-gi-bill-benefits/montgomery-selected-reserve" TargetMode="External"/><Relationship Id="rId91" Type="http://schemas.openxmlformats.org/officeDocument/2006/relationships/hyperlink" Target="http://www.va.gov/life-insurance/options-eligibility/s-dvi" TargetMode="External"/><Relationship Id="rId96" Type="http://schemas.openxmlformats.org/officeDocument/2006/relationships/hyperlink" Target="https://www.va.gov/life-insurance/options-eligibility/sgli" TargetMode="External"/><Relationship Id="rId140" Type="http://schemas.openxmlformats.org/officeDocument/2006/relationships/table" Target="../tables/table2.xml"/><Relationship Id="rId1" Type="http://schemas.openxmlformats.org/officeDocument/2006/relationships/hyperlink" Target="http://www.benefits.va.gov/guardreserve" TargetMode="External"/><Relationship Id="rId6" Type="http://schemas.openxmlformats.org/officeDocument/2006/relationships/hyperlink" Target="http://www.myhealth.va.gov/" TargetMode="External"/><Relationship Id="rId23" Type="http://schemas.openxmlformats.org/officeDocument/2006/relationships/hyperlink" Target="http://www.vetcenter.va.gov/" TargetMode="External"/><Relationship Id="rId28" Type="http://schemas.openxmlformats.org/officeDocument/2006/relationships/hyperlink" Target="https://www.va.gov/healthbenefits/vadip" TargetMode="External"/><Relationship Id="rId49" Type="http://schemas.openxmlformats.org/officeDocument/2006/relationships/hyperlink" Target="http://www.va.gov/housing-assistance/home-loans/home-buying-process" TargetMode="External"/><Relationship Id="rId114" Type="http://schemas.openxmlformats.org/officeDocument/2006/relationships/hyperlink" Target="https://worksource.itsmycareer.com/" TargetMode="External"/><Relationship Id="rId119" Type="http://schemas.openxmlformats.org/officeDocument/2006/relationships/hyperlink" Target="http://www.sba.gov/ovbd" TargetMode="External"/><Relationship Id="rId44" Type="http://schemas.openxmlformats.org/officeDocument/2006/relationships/hyperlink" Target="http://www.nutrition.va.gov/Food_Insecurity.asp" TargetMode="External"/><Relationship Id="rId60" Type="http://schemas.openxmlformats.org/officeDocument/2006/relationships/hyperlink" Target="http://www.opm.gov/" TargetMode="External"/><Relationship Id="rId65" Type="http://schemas.openxmlformats.org/officeDocument/2006/relationships/hyperlink" Target="https://www.vacareers.va.gov/careers/veterans" TargetMode="External"/><Relationship Id="rId81" Type="http://schemas.openxmlformats.org/officeDocument/2006/relationships/hyperlink" Target="http://www.benefits.va.gov/benefits/banking.asp" TargetMode="External"/><Relationship Id="rId86" Type="http://schemas.openxmlformats.org/officeDocument/2006/relationships/hyperlink" Target="http://www.va.gov/burials-memorials/pre-need-eligibility" TargetMode="External"/><Relationship Id="rId130" Type="http://schemas.openxmlformats.org/officeDocument/2006/relationships/hyperlink" Target="https://nrd.gov/" TargetMode="External"/><Relationship Id="rId135" Type="http://schemas.openxmlformats.org/officeDocument/2006/relationships/hyperlink" Target="https://tapevents.mil/" TargetMode="External"/><Relationship Id="rId13" Type="http://schemas.openxmlformats.org/officeDocument/2006/relationships/hyperlink" Target="http://www.rallypoint.com/" TargetMode="External"/><Relationship Id="rId18" Type="http://schemas.openxmlformats.org/officeDocument/2006/relationships/hyperlink" Target="http://www.veteranscrisisline.net/resourcelocator" TargetMode="External"/><Relationship Id="rId39" Type="http://schemas.openxmlformats.org/officeDocument/2006/relationships/hyperlink" Target="http://www.va.gov/communitycare" TargetMode="External"/><Relationship Id="rId109" Type="http://schemas.openxmlformats.org/officeDocument/2006/relationships/hyperlink" Target="http://www.archives.gov/veterans/military-service-records/correct-service-records.html" TargetMode="External"/><Relationship Id="rId34" Type="http://schemas.openxmlformats.org/officeDocument/2006/relationships/hyperlink" Target="http://www.mentalhealth.va.gov/mentalhealth/women-vets" TargetMode="External"/><Relationship Id="rId50" Type="http://schemas.openxmlformats.org/officeDocument/2006/relationships/hyperlink" Target="https://www.va.gov/housing-assistance/home-loans/how-to-apply" TargetMode="External"/><Relationship Id="rId55" Type="http://schemas.openxmlformats.org/officeDocument/2006/relationships/hyperlink" Target="http://www.vacareers.va.gov/" TargetMode="External"/><Relationship Id="rId76" Type="http://schemas.openxmlformats.org/officeDocument/2006/relationships/hyperlink" Target="http://www.va.gov/education/about-gi-bill-benefits/post-9-11/yellow-ribbon-program" TargetMode="External"/><Relationship Id="rId97" Type="http://schemas.openxmlformats.org/officeDocument/2006/relationships/hyperlink" Target="http://www.va.gov/life-insurance" TargetMode="External"/><Relationship Id="rId104" Type="http://schemas.openxmlformats.org/officeDocument/2006/relationships/hyperlink" Target="https://www.va.gov/disability/how-to-file-claim/when-to-file/pre-discharge-claim/file-while-overseas" TargetMode="External"/><Relationship Id="rId120" Type="http://schemas.openxmlformats.org/officeDocument/2006/relationships/hyperlink" Target="http://www.vets.gov/employment/job-seekers/register-your-business" TargetMode="External"/><Relationship Id="rId125" Type="http://schemas.openxmlformats.org/officeDocument/2006/relationships/hyperlink" Target="https://authentication.mods.army.mil/MCP" TargetMode="External"/><Relationship Id="rId7" Type="http://schemas.openxmlformats.org/officeDocument/2006/relationships/hyperlink" Target="http://www.uso.org/programs/uso-pathfinder" TargetMode="External"/><Relationship Id="rId71" Type="http://schemas.openxmlformats.org/officeDocument/2006/relationships/hyperlink" Target="https://www.va.gov/education/about-gi-bill-benefits/how-to-use-benefits/tutor-assistance" TargetMode="External"/><Relationship Id="rId92" Type="http://schemas.openxmlformats.org/officeDocument/2006/relationships/hyperlink" Target="http://www.va.gov/life-insurance/options-eligibility/tsgli" TargetMode="External"/><Relationship Id="rId2" Type="http://schemas.openxmlformats.org/officeDocument/2006/relationships/hyperlink" Target="http://www.va.gov/homeless/vjo.asp" TargetMode="External"/><Relationship Id="rId29" Type="http://schemas.openxmlformats.org/officeDocument/2006/relationships/hyperlink" Target="https://www.va.gov/health-care/about-va-health-benefits/dental-care" TargetMode="External"/><Relationship Id="rId24" Type="http://schemas.openxmlformats.org/officeDocument/2006/relationships/hyperlink" Target="http://www.va.gov/find-locations" TargetMode="External"/><Relationship Id="rId40" Type="http://schemas.openxmlformats.org/officeDocument/2006/relationships/hyperlink" Target="http://www.va.gov/health-care" TargetMode="External"/><Relationship Id="rId45" Type="http://schemas.openxmlformats.org/officeDocument/2006/relationships/hyperlink" Target="http://www.va.gov/housing-assistance/home-loans" TargetMode="External"/><Relationship Id="rId66" Type="http://schemas.openxmlformats.org/officeDocument/2006/relationships/hyperlink" Target="https://www.va.gov/education/about-gi-bill-benefits/how-to-use-benefits/vettec-high-tech-program" TargetMode="External"/><Relationship Id="rId87" Type="http://schemas.openxmlformats.org/officeDocument/2006/relationships/hyperlink" Target="http://www.va.gov/burials-memorials" TargetMode="External"/><Relationship Id="rId110" Type="http://schemas.openxmlformats.org/officeDocument/2006/relationships/hyperlink" Target="http://www.va.gov/welcome-kit" TargetMode="External"/><Relationship Id="rId115" Type="http://schemas.openxmlformats.org/officeDocument/2006/relationships/hyperlink" Target="http://www.sba.gov/federal-contracting" TargetMode="External"/><Relationship Id="rId131" Type="http://schemas.openxmlformats.org/officeDocument/2006/relationships/hyperlink" Target="https://nrd.gov/resource/detail/21079956/ETS+Sponsorship" TargetMode="External"/><Relationship Id="rId136" Type="http://schemas.openxmlformats.org/officeDocument/2006/relationships/hyperlink" Target="https://warriorcare.dodlive.mil/benefits/compensation-and-benefits" TargetMode="External"/><Relationship Id="rId61" Type="http://schemas.openxmlformats.org/officeDocument/2006/relationships/hyperlink" Target="http://www.va.gov/OSDBU/WVOSBI.asp" TargetMode="External"/><Relationship Id="rId82" Type="http://schemas.openxmlformats.org/officeDocument/2006/relationships/hyperlink" Target="http://www.va.gov/change-direct-deposit" TargetMode="External"/><Relationship Id="rId19" Type="http://schemas.openxmlformats.org/officeDocument/2006/relationships/hyperlink" Target="https://www.mentalhealth.va.gov/msthome/index.asp" TargetMode="External"/><Relationship Id="rId14" Type="http://schemas.openxmlformats.org/officeDocument/2006/relationships/hyperlink" Target="http://www.patientcare.va.gov/chaplain/index.asp" TargetMode="External"/><Relationship Id="rId30" Type="http://schemas.openxmlformats.org/officeDocument/2006/relationships/hyperlink" Target="http://www.uscis.gov/military" TargetMode="External"/><Relationship Id="rId35" Type="http://schemas.openxmlformats.org/officeDocument/2006/relationships/hyperlink" Target="https://www.va.gov/womenvet/whtt" TargetMode="External"/><Relationship Id="rId56" Type="http://schemas.openxmlformats.org/officeDocument/2006/relationships/hyperlink" Target="http://www.vacareers.va.gov/careers/technicalfield" TargetMode="External"/><Relationship Id="rId77" Type="http://schemas.openxmlformats.org/officeDocument/2006/relationships/hyperlink" Target="http://www.va.gov/education/other-va-education-benefits/stem-scholarship" TargetMode="External"/><Relationship Id="rId100" Type="http://schemas.openxmlformats.org/officeDocument/2006/relationships/hyperlink" Target="http://www.hrc.army.mil/site/protect/active/epord/coad.htm" TargetMode="External"/><Relationship Id="rId105" Type="http://schemas.openxmlformats.org/officeDocument/2006/relationships/hyperlink" Target="https://www.benefits.va.gov/compensation/rates-index.asp" TargetMode="External"/><Relationship Id="rId126" Type="http://schemas.openxmlformats.org/officeDocument/2006/relationships/hyperlink" Target="https://benefits.va.gov/benefits/jobs" TargetMode="External"/><Relationship Id="rId8" Type="http://schemas.openxmlformats.org/officeDocument/2006/relationships/hyperlink" Target="http://www.volunteer.va.gov/" TargetMode="External"/><Relationship Id="rId51" Type="http://schemas.openxmlformats.org/officeDocument/2006/relationships/hyperlink" Target="https://www.benefits.va.gov/benefits/mstcoordinators.asp" TargetMode="External"/><Relationship Id="rId72" Type="http://schemas.openxmlformats.org/officeDocument/2006/relationships/hyperlink" Target="http://www.benefits.va.gov/gibill/regional_processing.asp" TargetMode="External"/><Relationship Id="rId93" Type="http://schemas.openxmlformats.org/officeDocument/2006/relationships/hyperlink" Target="http://www.va.gov/life-insurance/options-eligibility/vgli" TargetMode="External"/><Relationship Id="rId98" Type="http://schemas.openxmlformats.org/officeDocument/2006/relationships/hyperlink" Target="https://www.dfas.mil/RetiredMilitary/" TargetMode="External"/><Relationship Id="rId121" Type="http://schemas.openxmlformats.org/officeDocument/2006/relationships/hyperlink" Target="https://www.womenshealth.va.gov/" TargetMode="External"/><Relationship Id="rId3" Type="http://schemas.openxmlformats.org/officeDocument/2006/relationships/hyperlink" Target="http://www.va.gov/homeless/reentry.asp" TargetMode="External"/><Relationship Id="rId25" Type="http://schemas.openxmlformats.org/officeDocument/2006/relationships/hyperlink" Target="http://www.va.gov/health-care/health-needs-conditions/mental-health" TargetMode="External"/><Relationship Id="rId46" Type="http://schemas.openxmlformats.org/officeDocument/2006/relationships/hyperlink" Target="http://www.va.gov/housing-assistance/home-loans/trouble-making-payments" TargetMode="External"/><Relationship Id="rId67" Type="http://schemas.openxmlformats.org/officeDocument/2006/relationships/hyperlink" Target="https://www.va.gov/education/about-gi-bill-benefits/how-to-use-benefits/on-the-job-training-apprenticeships" TargetMode="External"/><Relationship Id="rId116" Type="http://schemas.openxmlformats.org/officeDocument/2006/relationships/hyperlink" Target="http://www.rd.usda.gov/" TargetMode="External"/><Relationship Id="rId137" Type="http://schemas.openxmlformats.org/officeDocument/2006/relationships/hyperlink" Target="https://warriorcare.dodlive.mil/caregiver-resources" TargetMode="External"/><Relationship Id="rId20" Type="http://schemas.openxmlformats.org/officeDocument/2006/relationships/hyperlink" Target="http://www.ptsd.va.gov/" TargetMode="External"/><Relationship Id="rId41" Type="http://schemas.openxmlformats.org/officeDocument/2006/relationships/hyperlink" Target="http://www.va.gov/wholehealth" TargetMode="External"/><Relationship Id="rId62" Type="http://schemas.openxmlformats.org/officeDocument/2006/relationships/hyperlink" Target="https://www.va.gov/osdbu" TargetMode="External"/><Relationship Id="rId83" Type="http://schemas.openxmlformats.org/officeDocument/2006/relationships/hyperlink" Target="https://www.va.gov/pension/survivors-pension" TargetMode="External"/><Relationship Id="rId88" Type="http://schemas.openxmlformats.org/officeDocument/2006/relationships/hyperlink" Target="https://www.va.gov/burials-memorials/memorial-items" TargetMode="External"/><Relationship Id="rId111" Type="http://schemas.openxmlformats.org/officeDocument/2006/relationships/hyperlink" Target="http://www.va.gov/service-member-benefits" TargetMode="External"/><Relationship Id="rId132" Type="http://schemas.openxmlformats.org/officeDocument/2006/relationships/hyperlink" Target="https://portal.armytap.army.mil/" TargetMode="External"/><Relationship Id="rId15" Type="http://schemas.openxmlformats.org/officeDocument/2006/relationships/hyperlink" Target="http://www.hhs.gov/about/agencies/iea/partnerships/index.html" TargetMode="External"/><Relationship Id="rId36" Type="http://schemas.openxmlformats.org/officeDocument/2006/relationships/hyperlink" Target="http://www.va.gov/health-care/about-va-health-benefits/your-care-team" TargetMode="External"/><Relationship Id="rId57" Type="http://schemas.openxmlformats.org/officeDocument/2006/relationships/hyperlink" Target="http://www.vaforvets.va.gov/" TargetMode="External"/><Relationship Id="rId106" Type="http://schemas.openxmlformats.org/officeDocument/2006/relationships/hyperlink" Target="http://www.va.gov/disability" TargetMode="External"/><Relationship Id="rId127" Type="http://schemas.openxmlformats.org/officeDocument/2006/relationships/hyperlink" Target="https://benefits.va.gov/predischarge/disability-exams.asp" TargetMode="External"/><Relationship Id="rId10" Type="http://schemas.openxmlformats.org/officeDocument/2006/relationships/hyperlink" Target="http://www.va.gov/wholehealth/phi.asp" TargetMode="External"/><Relationship Id="rId31" Type="http://schemas.openxmlformats.org/officeDocument/2006/relationships/hyperlink" Target="https://www.veteranscrisisline.net/" TargetMode="External"/><Relationship Id="rId52" Type="http://schemas.openxmlformats.org/officeDocument/2006/relationships/hyperlink" Target="https://www.socialwork.va.gov/" TargetMode="External"/><Relationship Id="rId73" Type="http://schemas.openxmlformats.org/officeDocument/2006/relationships/hyperlink" Target="http://www.va.gov/education/survivor-dependent-benefits/fry-scholarship" TargetMode="External"/><Relationship Id="rId78" Type="http://schemas.openxmlformats.org/officeDocument/2006/relationships/hyperlink" Target="http://www.va.gov/education/yellow-ribbon-participating-schools" TargetMode="External"/><Relationship Id="rId94" Type="http://schemas.openxmlformats.org/officeDocument/2006/relationships/hyperlink" Target="http://www.benefits.va.gov/insurance" TargetMode="External"/><Relationship Id="rId99" Type="http://schemas.openxmlformats.org/officeDocument/2006/relationships/hyperlink" Target="http://www.uscg.mil/psc/psd/fs/tsgli.asp" TargetMode="External"/><Relationship Id="rId101" Type="http://schemas.openxmlformats.org/officeDocument/2006/relationships/hyperlink" Target="https://www.sms.army.mil/cms/spring.login" TargetMode="External"/><Relationship Id="rId122" Type="http://schemas.openxmlformats.org/officeDocument/2006/relationships/hyperlink" Target="https://www.va.gov/wholehealthlibrary/" TargetMode="External"/><Relationship Id="rId4" Type="http://schemas.openxmlformats.org/officeDocument/2006/relationships/hyperlink" Target="http://www.va.gov/centerforminorityveterans/" TargetMode="External"/><Relationship Id="rId9" Type="http://schemas.openxmlformats.org/officeDocument/2006/relationships/hyperlink" Target="http://www.dodsurveys.mil/tgpsp" TargetMode="External"/><Relationship Id="rId26" Type="http://schemas.openxmlformats.org/officeDocument/2006/relationships/hyperlink" Target="http://www.caregiver.va.gov/" TargetMode="External"/><Relationship Id="rId47" Type="http://schemas.openxmlformats.org/officeDocument/2006/relationships/hyperlink" Target="http://www.consumerfinance.gov/" TargetMode="External"/><Relationship Id="rId68" Type="http://schemas.openxmlformats.org/officeDocument/2006/relationships/hyperlink" Target="https://www.va.gov/education/about-gi-bill-benefits/how-to-use-benefits/work-study" TargetMode="External"/><Relationship Id="rId89" Type="http://schemas.openxmlformats.org/officeDocument/2006/relationships/hyperlink" Target="http://www.cem.va.gov/legacy" TargetMode="External"/><Relationship Id="rId112" Type="http://schemas.openxmlformats.org/officeDocument/2006/relationships/hyperlink" Target="http://www.va.gov/pension" TargetMode="External"/><Relationship Id="rId133" Type="http://schemas.openxmlformats.org/officeDocument/2006/relationships/hyperlink" Target="https://skillbridge.osd.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8"/>
  <sheetViews>
    <sheetView zoomScale="85" zoomScaleNormal="85" workbookViewId="0">
      <pane xSplit="1" ySplit="1" topLeftCell="B2" activePane="bottomRight" state="frozen"/>
      <selection pane="topRight" activeCell="B1" sqref="B1"/>
      <selection pane="bottomLeft" activeCell="A3" sqref="A3"/>
      <selection pane="bottomRight" activeCell="Z6" sqref="Z6"/>
    </sheetView>
  </sheetViews>
  <sheetFormatPr defaultColWidth="12.625" defaultRowHeight="14.25" x14ac:dyDescent="0.2"/>
  <cols>
    <col min="1" max="1" width="36.25" style="1" customWidth="1"/>
    <col min="2" max="2" width="13.5" style="1" customWidth="1"/>
    <col min="3" max="3" width="9.75" style="1" customWidth="1"/>
    <col min="4" max="4" width="11.25" style="1" customWidth="1"/>
    <col min="5" max="5" width="13.25" style="1" customWidth="1"/>
    <col min="6" max="22" width="8.125" style="1" bestFit="1" customWidth="1"/>
    <col min="23" max="23" width="121.5" style="1" hidden="1" customWidth="1"/>
    <col min="24" max="24" width="63.875" style="1" customWidth="1"/>
    <col min="25" max="25" width="32.75" style="1" hidden="1" customWidth="1"/>
    <col min="26" max="26" width="20.625" style="1" customWidth="1"/>
    <col min="27" max="27" width="38.25" style="1" hidden="1" customWidth="1"/>
    <col min="28" max="31" width="7.625" style="1" customWidth="1"/>
    <col min="32" max="16384" width="12.625" style="1"/>
  </cols>
  <sheetData>
    <row r="1" spans="1:27" ht="195.75" x14ac:dyDescent="0.2">
      <c r="A1" s="4" t="s">
        <v>0</v>
      </c>
      <c r="B1" s="4" t="s">
        <v>1024</v>
      </c>
      <c r="C1" s="4" t="s">
        <v>1</v>
      </c>
      <c r="D1" s="4" t="s">
        <v>544</v>
      </c>
      <c r="E1" s="4" t="s">
        <v>543</v>
      </c>
      <c r="F1" s="23" t="s">
        <v>418</v>
      </c>
      <c r="G1" s="23" t="s">
        <v>550</v>
      </c>
      <c r="H1" s="23" t="s">
        <v>551</v>
      </c>
      <c r="I1" s="23" t="s">
        <v>2</v>
      </c>
      <c r="J1" s="23" t="s">
        <v>3</v>
      </c>
      <c r="K1" s="23" t="s">
        <v>4</v>
      </c>
      <c r="L1" s="23" t="s">
        <v>5</v>
      </c>
      <c r="M1" s="23" t="s">
        <v>6</v>
      </c>
      <c r="N1" s="23" t="s">
        <v>7</v>
      </c>
      <c r="O1" s="23" t="s">
        <v>8</v>
      </c>
      <c r="P1" s="23" t="s">
        <v>9</v>
      </c>
      <c r="Q1" s="23" t="s">
        <v>10</v>
      </c>
      <c r="R1" s="23" t="s">
        <v>11</v>
      </c>
      <c r="S1" s="23" t="s">
        <v>12</v>
      </c>
      <c r="T1" s="23" t="s">
        <v>13</v>
      </c>
      <c r="U1" s="23" t="s">
        <v>14</v>
      </c>
      <c r="V1" s="23" t="s">
        <v>925</v>
      </c>
      <c r="W1" s="4" t="s">
        <v>380</v>
      </c>
      <c r="X1" s="4" t="s">
        <v>540</v>
      </c>
      <c r="Y1" s="4" t="s">
        <v>541</v>
      </c>
      <c r="Z1" s="4" t="s">
        <v>542</v>
      </c>
      <c r="AA1" s="4" t="s">
        <v>911</v>
      </c>
    </row>
    <row r="2" spans="1:27" ht="15" x14ac:dyDescent="0.25">
      <c r="A2" t="s">
        <v>15</v>
      </c>
      <c r="B2" t="s">
        <v>15</v>
      </c>
      <c r="C2" s="10" t="s">
        <v>16</v>
      </c>
      <c r="D2" t="s">
        <v>554</v>
      </c>
      <c r="E2" t="s">
        <v>553</v>
      </c>
      <c r="F2" s="2" t="s">
        <v>17</v>
      </c>
      <c r="G2" s="2" t="s">
        <v>900</v>
      </c>
      <c r="H2" s="2" t="s">
        <v>552</v>
      </c>
      <c r="I2" s="2"/>
      <c r="J2" s="2"/>
      <c r="K2" s="2" t="s">
        <v>18</v>
      </c>
      <c r="L2" s="2"/>
      <c r="M2" s="2"/>
      <c r="N2" s="2"/>
      <c r="O2" s="2"/>
      <c r="P2" s="2"/>
      <c r="Q2" s="2"/>
      <c r="R2" s="2"/>
      <c r="S2" s="2"/>
      <c r="T2" s="2"/>
      <c r="U2" s="2"/>
      <c r="V2" s="2"/>
      <c r="W2" s="3" t="str">
        <f>CONCATENATE("var js",Table1[[#This Row],[IDs]]," = document.getElementbyId('",Table1[[#This Row],[IDs]],"').innerHTML; //  ",Table1[[#This Row],[Site]])</f>
        <v>var jsA00 = document.getElementbyId('A00').innerHTML; //  Air Force Weather Agency</v>
      </c>
      <c r="X2" s="1" t="str">
        <f t="shared" ref="X2:X33" si="0">CONCATENATE("        &lt;!--",A2," - ",C2," --&gt;&lt;div class='column catAll",IF(I2="X"," catArmySites",""),IF(J2="X"," catCombatReadiness",""),IF(K2="X"," catDod",""),IF(L2="X"," catFamily",""),IF(M2="X"," catFinance",""),IF(N2="X"," catHealth",""),IF(O2="X"," catHuman",""),IF(P2="X"," catLegal",""),IF(Q2="X"," catProDev",""),IF(R2="X"," catTech",""),IF(S2="X"," catMilEd",""),IF(T2="X"," catCivEd",""),IF(U2="X"," catUsGov",""),"' style='margin-bottom: 0px;' id='",F2,"'&gt;&lt;a href='",C2,"' rel='noopener noreferrer' class='column hideMarquee'&gt;&lt;div class='armyCardContainer card'&gt;&lt;div class='armyCard'&gt;&lt;div&gt;&lt;p class='marquee'&gt;",E2,"&lt;/p&gt;",IF(H2="Yes","&lt;img src='assets/CaCRequired.png' title='A CAC is required to use some or all features of this site!' Class='cacLocked'&gt;",""),IF(G2="Yes","&lt;img src='assets/DODlock.png' title='This Site requires a DoD network connection to be used!' Class='dodLocked'&gt;",""),"&lt;img src='assets/",D2,"' class='cardImage' loading='lazy'&gt;&lt;/div&gt;&lt;div class='title'&gt;
          &lt;span&gt;",A2,"&lt;/span&gt;&lt;/div&gt;&lt;/div&gt;&lt;/div&gt;&lt;/a&gt;&lt;/div&gt;&lt;script&gt;var js",F2," = document.getElementById('",F2,"').innerHTML;&lt;/script&gt;")</f>
        <v xml:space="preserve">        &lt;!--Air Force Weather Agency - https://weather.af.mil/  --&gt;&lt;div class='column catAll catDod' style='margin-bottom: 0px;' id='A00'&gt;&lt;a href='https://weather.af.mil/ ' rel='noopener noreferrer' class='column hideMarquee'&gt;&lt;div class='armyCardContainer card'&gt;&lt;div class='armyCard'&gt;&lt;div&gt;&lt;p class='marquee'&gt;Air Force Weather Agency is the weather presented by the Air Force.&lt;/p&gt;&lt;img src='assets/CaCRequired.png' title='A CAC is required to use some or all features of this site!' Class='cacLocked'&gt;&lt;img src='assets/Card-023.png' class='cardImage' loading='lazy'&gt;&lt;/div&gt;&lt;div class='title'&gt;
          &lt;span&gt;Air Force Weather Agency&lt;/span&gt;&lt;/div&gt;&lt;/div&gt;&lt;/div&gt;&lt;/a&gt;&lt;/div&gt;&lt;script&gt;var jsA00 = document.getElementById('A00').innerHTML;&lt;/script&gt;</v>
      </c>
      <c r="Y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Air Force Weather Agency - https://weather.af.mil/  --&gt;
      &lt;summary&gt;• &lt;a href='https://weather.af.mil/ ' rel='noopener noreferrer'&gt;Air Force Weather Agency - https://weather.af.mil/ &lt;/a&gt;&lt;/summary&gt;
      &lt;p&gt;Air Force Weather Agency is the weather presented by the Air Force.&lt;/p&gt;
    &lt;/details&gt;</v>
      </c>
      <c r="Z2" s="1" t="str">
        <f t="shared" ref="Z2:Z65" si="1">CONCATENATE("          &lt;!-- ",B2," - ",C2," --&gt;&lt;div id='drag",F2,"' class='catAll",IF(I2="X"," catArmySites",""),IF(J2="X"," catCombatReadiness",""),IF(K2="X"," catDod",""),IF(L2="X"," catFamily",""),IF(M2="X"," catFinance",""),IF(N2="X"," catHealth",""),IF(O2="X"," catHuman",""),IF(P2="X"," catLegal",""),IF(Q2="X"," catProDev",""),IF(R2="X"," catTech",""),IF(S2="X"," catMilEd",""),IF(T2="X"," catCivEd",""),IF(U2="X"," catUsGov",""),"'&gt;&lt;div class='column hideMarquee' draggable='true' ondragstart='drag(event)' value='",F2,"' id='",F2,"'&gt;&lt;div class='armyCardContainer ssCard'&gt;&lt;div class='ssArmyCard'&gt;&lt;div&gt;&lt;p class='marquee'&gt;",E2,"&lt;/p&gt;&lt;img src='assets/",D2,"' class='ssCardImage' draggable='false' loading='lazy'&gt;&lt;/div&gt;&lt;div class='ssTitle'&gt;&lt;span id='",F2,"Title'&gt;",A2,"&lt;/span&gt;&lt;/div&gt;&lt;/div&gt;&lt;/div&gt;&lt;/div&gt;&lt;/div&gt;&lt;script&gt;var js",F2," = document.getElementById('drag",F2,"').innerHTML;&lt;/script&gt;")</f>
        <v xml:space="preserve">          &lt;!-- Air Force Weather Agency - https://weather.af.mil/  --&gt;&lt;div id='dragA00' class='catAll catDod'&gt;&lt;div class='column hideMarquee' draggable='true' ondragstart='drag(event)' value='A00' id='A00'&gt;&lt;div class='armyCardContainer ssCard'&gt;&lt;div class='ssArmyCard'&gt;&lt;div&gt;&lt;p class='marquee'&gt;Air Force Weather Agency is the weather presented by the Air Force.&lt;/p&gt;&lt;img src='assets/Card-023.png' class='ssCardImage' draggable='false' loading='lazy'&gt;&lt;/div&gt;&lt;div class='ssTitle'&gt;&lt;span id='A00Title'&gt;Air Force Weather Agency&lt;/span&gt;&lt;/div&gt;&lt;/div&gt;&lt;/div&gt;&lt;/div&gt;&lt;/div&gt;&lt;script&gt;var jsA00 = document.getElementById('dragA00').innerHTML;&lt;/script&gt;</v>
      </c>
      <c r="AA2" s="1" t="str">
        <f>CONCATENATE("var js",Table1[[#This Row],[IDs]]," = document.getElementbyId('drag",Table1[[#This Row],[IDs]],"').innerHTML; //  ",Table1[[#This Row],[Site]])</f>
        <v>var jsA00 = document.getElementbyId('dragA00').innerHTML; //  Air Force Weather Agency</v>
      </c>
    </row>
    <row r="3" spans="1:27" ht="15" x14ac:dyDescent="0.25">
      <c r="A3" t="s">
        <v>468</v>
      </c>
      <c r="B3" t="s">
        <v>468</v>
      </c>
      <c r="C3" s="2" t="s">
        <v>469</v>
      </c>
      <c r="D3" t="s">
        <v>555</v>
      </c>
      <c r="E3" t="s">
        <v>556</v>
      </c>
      <c r="F3" s="2" t="s">
        <v>457</v>
      </c>
      <c r="G3" s="2" t="s">
        <v>900</v>
      </c>
      <c r="H3" s="2" t="s">
        <v>552</v>
      </c>
      <c r="I3" s="2"/>
      <c r="J3" s="2"/>
      <c r="K3" s="2"/>
      <c r="L3" s="2"/>
      <c r="M3" s="2"/>
      <c r="N3" s="2"/>
      <c r="O3" s="2" t="s">
        <v>18</v>
      </c>
      <c r="P3" s="2"/>
      <c r="Q3" s="2"/>
      <c r="R3" s="2"/>
      <c r="S3" s="2"/>
      <c r="T3" s="2"/>
      <c r="U3" s="2"/>
      <c r="V3" s="2"/>
      <c r="W3" s="3" t="str">
        <f>CONCATENATE("var js",Table1[[#This Row],[IDs]]," = document.getElementbyId('",Table1[[#This Row],[IDs]],"').innerHTML; //  ",Table1[[#This Row],[Site]])</f>
        <v>var jsA46 = document.getElementbyId('A46').innerHTML; //  Aircraft and Personnel Automated Clearance System (APACS)</v>
      </c>
      <c r="X3" s="1" t="str">
        <f t="shared" si="0"/>
        <v xml:space="preserve">        &lt;!--Aircraft and Personnel Automated Clearance System (APACS) - https://apacs.milcloud.mil/apacs/login.jsp --&gt;&lt;div class='column catAll catHuman' style='margin-bottom: 0px;' id='A46'&gt;&lt;a href='https://apacs.milcloud.mil/apacs/login.jsp' rel='noopener noreferrer' class='column hideMarquee'&gt;&lt;div class='armyCardContainer card'&gt;&lt;div class='armyCard'&gt;&lt;div&gt;&lt;p class='marquee'&gt;Aircraft and Personnel Automated Clearance System (APACS) is a web-based application designed to aid DoD mission planners, aircraft operators and DoD personnel in meeting host nation aircraft diplomatic and personnel travel clearance requirements outlined in the DoD Foreign Clearance Guide.&lt;/p&gt;&lt;img src='assets/CaCRequired.png' title='A CAC is required to use some or all features of this site!' Class='cacLocked'&gt;&lt;img src='assets/Card-150.jpg' class='cardImage' loading='lazy'&gt;&lt;/div&gt;&lt;div class='title'&gt;
          &lt;span&gt;Aircraft and Personnel Automated Clearance System (APACS)&lt;/span&gt;&lt;/div&gt;&lt;/div&gt;&lt;/div&gt;&lt;/a&gt;&lt;/div&gt;&lt;script&gt;var jsA46 = document.getElementById('A46').innerHTML;&lt;/script&gt;</v>
      </c>
      <c r="Y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Aircraft and Personnel Automated Clearance System (APACS) - https://apacs.milcloud.mil/apacs/login.jsp --&gt;
      &lt;summary&gt;• &lt;a href='https://apacs.milcloud.mil/apacs/login.jsp' rel='noopener noreferrer'&gt;Aircraft and Personnel Automated Clearance System (APACS) - https://apacs.milcloud.mil/apacs/login.jsp&lt;/a&gt;&lt;/summary&gt;
      &lt;p&gt;Aircraft and Personnel Automated Clearance System (APACS) is a web-based application designed to aid DoD mission planners, aircraft operators and DoD personnel in meeting host nation aircraft diplomatic and personnel travel clearance requirements outlined in the DoD Foreign Clearance Guide.&lt;/p&gt;
    &lt;/details&gt;</v>
      </c>
      <c r="Z3" s="1" t="str">
        <f t="shared" si="1"/>
        <v xml:space="preserve">          &lt;!-- Aircraft and Personnel Automated Clearance System (APACS) - https://apacs.milcloud.mil/apacs/login.jsp --&gt;&lt;div id='dragA46' class='catAll catHuman'&gt;&lt;div class='column hideMarquee' draggable='true' ondragstart='drag(event)' value='A46' id='A46'&gt;&lt;div class='armyCardContainer ssCard'&gt;&lt;div class='ssArmyCard'&gt;&lt;div&gt;&lt;p class='marquee'&gt;Aircraft and Personnel Automated Clearance System (APACS) is a web-based application designed to aid DoD mission planners, aircraft operators and DoD personnel in meeting host nation aircraft diplomatic and personnel travel clearance requirements outlined in the DoD Foreign Clearance Guide.&lt;/p&gt;&lt;img src='assets/Card-150.jpg' class='ssCardImage' draggable='false' loading='lazy'&gt;&lt;/div&gt;&lt;div class='ssTitle'&gt;&lt;span id='A46Title'&gt;Aircraft and Personnel Automated Clearance System (APACS)&lt;/span&gt;&lt;/div&gt;&lt;/div&gt;&lt;/div&gt;&lt;/div&gt;&lt;/div&gt;&lt;script&gt;var jsA46 = document.getElementById('dragA46').innerHTML;&lt;/script&gt;</v>
      </c>
      <c r="AA3" s="1" t="str">
        <f>CONCATENATE("var js",Table1[[#This Row],[IDs]]," = document.getElementbyId('drag",Table1[[#This Row],[IDs]],"').innerHTML; //  ",Table1[[#This Row],[Site]])</f>
        <v>var jsA46 = document.getElementbyId('dragA46').innerHTML; //  Aircraft and Personnel Automated Clearance System (APACS)</v>
      </c>
    </row>
    <row r="4" spans="1:27" ht="15" x14ac:dyDescent="0.25">
      <c r="A4" t="s">
        <v>492</v>
      </c>
      <c r="B4" t="s">
        <v>492</v>
      </c>
      <c r="C4" s="9" t="s">
        <v>493</v>
      </c>
      <c r="D4" t="s">
        <v>639</v>
      </c>
      <c r="E4"/>
      <c r="F4" s="2"/>
      <c r="G4" s="2" t="s">
        <v>552</v>
      </c>
      <c r="H4" s="2"/>
      <c r="I4" s="2"/>
      <c r="J4" s="2"/>
      <c r="K4" s="2"/>
      <c r="L4" s="2"/>
      <c r="M4" s="2"/>
      <c r="N4" s="2"/>
      <c r="O4" s="2"/>
      <c r="P4" s="2"/>
      <c r="Q4" s="2"/>
      <c r="R4" s="2"/>
      <c r="S4" s="2"/>
      <c r="T4" s="2"/>
      <c r="U4" s="2"/>
      <c r="V4" s="2"/>
      <c r="W4" s="3" t="str">
        <f>CONCATENATE("var js",Table1[[#This Row],[IDs]]," = document.getElementbyId('",Table1[[#This Row],[IDs]],"').innerHTML; //  ",Table1[[#This Row],[Site]])</f>
        <v>var js = document.getElementbyId('').innerHTML; //  AIRS</v>
      </c>
      <c r="X4" s="1" t="str">
        <f t="shared" si="0"/>
        <v xml:space="preserve">        &lt;!--AIRS - https://imc.army.mil/airs/ --&gt;&lt;div class='column catAll' style='margin-bottom: 0px;' id=''&gt;&lt;a href='https://imc.army.mil/airs/' rel='noopener noreferrer' class='column hideMarquee'&gt;&lt;div class='armyCardContainer card'&gt;&lt;div class='armyCard'&gt;&lt;div&gt;&lt;p class='marquee'&gt;&lt;/p&gt;&lt;img src='assets/DODlock.png' title='This Site requires a DoD network connection to be used!' Class='dodLocked'&gt;&lt;img src='assets/Card-000.gif' class='cardImage' loading='lazy'&gt;&lt;/div&gt;&lt;div class='title'&gt;
          &lt;span&gt;AIRS&lt;/span&gt;&lt;/div&gt;&lt;/div&gt;&lt;/div&gt;&lt;/a&gt;&lt;/div&gt;&lt;script&gt;var js = document.getElementById('').innerHTML;&lt;/script&gt;</v>
      </c>
      <c r="Y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AIRS - https://imc.army.mil/airs/ --&gt;
      &lt;summary&gt;• &lt;a href='https://imc.army.mil/airs/' rel='noopener noreferrer'&gt;AIRS - https://imc.army.mil/airs/&lt;/a&gt;&lt;/summary&gt;
      &lt;p&gt;&lt;/p&gt;
    &lt;/details&gt;</v>
      </c>
      <c r="Z4" s="1" t="str">
        <f t="shared" si="1"/>
        <v xml:space="preserve">          &lt;!-- AIRS - https://imc.army.mil/airs/ --&gt;&lt;div id='drag' class='catAll'&gt;&lt;div class='column hideMarquee' draggable='true' ondragstart='drag(event)' value='' id=''&gt;&lt;div class='armyCardContainer ssCard'&gt;&lt;div class='ssArmyCard'&gt;&lt;div&gt;&lt;p class='marquee'&gt;&lt;/p&gt;&lt;img src='assets/Card-000.gif' class='ssCardImage' draggable='false' loading='lazy'&gt;&lt;/div&gt;&lt;div class='ssTitle'&gt;&lt;span id='Title'&gt;AIRS&lt;/span&gt;&lt;/div&gt;&lt;/div&gt;&lt;/div&gt;&lt;/div&gt;&lt;/div&gt;&lt;script&gt;var js = document.getElementById('drag').innerHTML;&lt;/script&gt;</v>
      </c>
      <c r="AA4" s="1" t="str">
        <f>CONCATENATE("var js",Table1[[#This Row],[IDs]]," = document.getElementbyId('drag",Table1[[#This Row],[IDs]],"').innerHTML; //  ",Table1[[#This Row],[Site]])</f>
        <v>var js = document.getElementbyId('drag').innerHTML; //  AIRS</v>
      </c>
    </row>
    <row r="5" spans="1:27" ht="15" x14ac:dyDescent="0.25">
      <c r="A5" t="s">
        <v>19</v>
      </c>
      <c r="B5" t="s">
        <v>19</v>
      </c>
      <c r="C5" s="2" t="s">
        <v>20</v>
      </c>
      <c r="D5" t="s">
        <v>560</v>
      </c>
      <c r="E5" t="s">
        <v>557</v>
      </c>
      <c r="F5" s="2" t="s">
        <v>21</v>
      </c>
      <c r="G5" s="2" t="s">
        <v>900</v>
      </c>
      <c r="H5" s="2" t="s">
        <v>552</v>
      </c>
      <c r="I5" s="2"/>
      <c r="J5" s="2"/>
      <c r="K5" s="2"/>
      <c r="L5" s="2"/>
      <c r="M5" s="2"/>
      <c r="N5" s="2" t="s">
        <v>18</v>
      </c>
      <c r="O5" s="2"/>
      <c r="P5" s="2"/>
      <c r="Q5" s="2"/>
      <c r="R5" s="2"/>
      <c r="S5" s="2"/>
      <c r="T5" s="2"/>
      <c r="U5" s="2"/>
      <c r="V5" s="2"/>
      <c r="W5" s="3" t="str">
        <f>CONCATENATE("var js",Table1[[#This Row],[IDs]]," = document.getElementbyId('",Table1[[#This Row],[IDs]],"').innerHTML; //  ",Table1[[#This Row],[Site]])</f>
        <v>var jsA01 = document.getElementbyId('A01').innerHTML; //  AMEDD Command Management System</v>
      </c>
      <c r="X5" s="1" t="str">
        <f t="shared" si="0"/>
        <v xml:space="preserve">        &lt;!--AMEDD Command Management System - https://cms.mods.army.mil/cms/ --&gt;&lt;div class='column catAll catHealth' style='margin-bottom: 0px;' id='A01'&gt;&lt;a href='https://cms.mods.army.mil/cms/' rel='noopener noreferrer' class='column hideMarquee'&gt;&lt;div class='armyCardContainer card'&gt;&lt;div class='armyCard'&gt;&lt;div&gt;&lt;p class='marquee'&gt;The Command Management System now hosts tri-service metrics gathered from various MHS and service-specific systems Carepoint, TOC, CARA, MRRS, and DMHRSi to name a few – empowering users to compare location performance, report trending, leverage customizable charting, create formatted reports, and tailor the site with favorites in a highly available, DIACAP-approved, load balanced cluster at the Pentagon as part of the MODS system.&lt;br&gt;&lt;red&gt;!ONLY WORKS ON DOD NETWORKS!&lt;/p&gt;&lt;img src='assets/CaCRequired.png' title='A CAC is required to use some or all features of this site!' Class='cacLocked'&gt;&lt;img src='assets/Card-047.png' class='cardImage' loading='lazy'&gt;&lt;/div&gt;&lt;div class='title'&gt;
          &lt;span&gt;AMEDD Command Management System&lt;/span&gt;&lt;/div&gt;&lt;/div&gt;&lt;/div&gt;&lt;/a&gt;&lt;/div&gt;&lt;script&gt;var jsA01 = document.getElementById('A01').innerHTML;&lt;/script&gt;</v>
      </c>
      <c r="Y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AMEDD Command Management System - https://cms.mods.army.mil/cms/ --&gt;
      &lt;summary&gt;• &lt;a href='https://cms.mods.army.mil/cms/' rel='noopener noreferrer'&gt;AMEDD Command Management System - https://cms.mods.army.mil/cms/&lt;/a&gt;&lt;/summary&gt;
      &lt;p&gt;The Command Management System now hosts tri-service metrics gathered from various MHS and service-specific systems Carepoint, TOC, CARA, MRRS, and DMHRSi to name a few – empowering users to compare location performance, report trending, leverage customizable charting, create formatted reports, and tailor the site with favorites in a highly available, DIACAP-approved, load balanced cluster at the Pentagon as part of the MODS system.&lt;br&gt;&lt;red&gt;!ONLY WORKS ON DOD NETWORKS!&lt;/p&gt;
    &lt;/details&gt;</v>
      </c>
      <c r="Z5" s="1" t="str">
        <f t="shared" si="1"/>
        <v xml:space="preserve">          &lt;!-- AMEDD Command Management System - https://cms.mods.army.mil/cms/ --&gt;&lt;div id='dragA01' class='catAll catHealth'&gt;&lt;div class='column hideMarquee' draggable='true' ondragstart='drag(event)' value='A01' id='A01'&gt;&lt;div class='armyCardContainer ssCard'&gt;&lt;div class='ssArmyCard'&gt;&lt;div&gt;&lt;p class='marquee'&gt;The Command Management System now hosts tri-service metrics gathered from various MHS and service-specific systems Carepoint, TOC, CARA, MRRS, and DMHRSi to name a few – empowering users to compare location performance, report trending, leverage customizable charting, create formatted reports, and tailor the site with favorites in a highly available, DIACAP-approved, load balanced cluster at the Pentagon as part of the MODS system.&lt;br&gt;&lt;red&gt;!ONLY WORKS ON DOD NETWORKS!&lt;/p&gt;&lt;img src='assets/Card-047.png' class='ssCardImage' draggable='false' loading='lazy'&gt;&lt;/div&gt;&lt;div class='ssTitle'&gt;&lt;span id='A01Title'&gt;AMEDD Command Management System&lt;/span&gt;&lt;/div&gt;&lt;/div&gt;&lt;/div&gt;&lt;/div&gt;&lt;/div&gt;&lt;script&gt;var jsA01 = document.getElementById('dragA01').innerHTML;&lt;/script&gt;</v>
      </c>
      <c r="AA5" s="1" t="str">
        <f>CONCATENATE("var js",Table1[[#This Row],[IDs]]," = document.getElementbyId('drag",Table1[[#This Row],[IDs]],"').innerHTML; //  ",Table1[[#This Row],[Site]])</f>
        <v>var jsA01 = document.getElementbyId('dragA01').innerHTML; //  AMEDD Command Management System</v>
      </c>
    </row>
    <row r="6" spans="1:27" ht="15" x14ac:dyDescent="0.25">
      <c r="A6" t="s">
        <v>889</v>
      </c>
      <c r="B6" t="s">
        <v>889</v>
      </c>
      <c r="C6" s="9" t="s">
        <v>892</v>
      </c>
      <c r="D6" s="1" t="s">
        <v>1023</v>
      </c>
      <c r="E6" t="s">
        <v>907</v>
      </c>
      <c r="F6" s="2" t="s">
        <v>997</v>
      </c>
      <c r="G6" s="2" t="s">
        <v>900</v>
      </c>
      <c r="H6" s="2" t="s">
        <v>900</v>
      </c>
      <c r="I6" s="2"/>
      <c r="J6" s="2"/>
      <c r="K6" s="2"/>
      <c r="L6" s="2" t="s">
        <v>18</v>
      </c>
      <c r="M6" s="2"/>
      <c r="N6" s="2"/>
      <c r="O6" s="2"/>
      <c r="P6" s="2"/>
      <c r="Q6" s="2"/>
      <c r="R6" s="2"/>
      <c r="S6" s="2"/>
      <c r="T6" s="2"/>
      <c r="U6" s="2" t="s">
        <v>18</v>
      </c>
      <c r="V6" s="2"/>
      <c r="W6" s="3" t="str">
        <f>CONCATENATE("var js",Table1[[#This Row],[IDs]]," = document.getElementbyId('",Table1[[#This Row],[IDs]],"').innerHTML; //  ",Table1[[#This Row],[Site]])</f>
        <v>var jsA49 = document.getElementbyId('A49').innerHTML; //  American Red Cross</v>
      </c>
      <c r="X6" s="1" t="str">
        <f t="shared" si="0"/>
        <v xml:space="preserve">        &lt;!--American Red Cross - https://redcross.org/ --&gt;&lt;div class='column catAll catFamily catUsGov' style='margin-bottom: 0px;' id='A49'&gt;&lt;a href='https://redcross.org/' rel='noopener noreferrer' class='column hideMarquee'&gt;&lt;div class='armyCardContainer card'&gt;&lt;div class='armyCard'&gt;&lt;div&gt;&lt;p class='marquee'&gt;The American Red Cross, also known as the American National Red Cross, is a non-profit humanitarian organization that provides emergency assistance, disaster relief, and disaster preparedness education in the United States.&lt;/p&gt;&lt;img src='assets/Card-172.png' class='cardImage' loading='lazy'&gt;&lt;/div&gt;&lt;div class='title'&gt;
          &lt;span&gt;American Red Cross&lt;/span&gt;&lt;/div&gt;&lt;/div&gt;&lt;/div&gt;&lt;/a&gt;&lt;/div&gt;&lt;script&gt;var jsA49 = document.getElementById('A49').innerHTML;&lt;/script&gt;</v>
      </c>
      <c r="Y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American Red Cross - https://redcross.org/ --&gt;
      &lt;summary&gt;• &lt;a href='https://redcross.org/' rel='noopener noreferrer'&gt;American Red Cross - https://redcross.org/&lt;/a&gt;&lt;/summary&gt;
      &lt;p&gt;The American Red Cross, also known as the American National Red Cross, is a non-profit humanitarian organization that provides emergency assistance, disaster relief, and disaster preparedness education in the United States.&lt;/p&gt;
    &lt;/details&gt;</v>
      </c>
      <c r="Z6" s="1" t="str">
        <f t="shared" si="1"/>
        <v xml:space="preserve">          &lt;!-- American Red Cross - https://redcross.org/ --&gt;&lt;div id='dragA49' class='catAll catFamily catUsGov'&gt;&lt;div class='column hideMarquee' draggable='true' ondragstart='drag(event)' value='A49' id='A49'&gt;&lt;div class='armyCardContainer ssCard'&gt;&lt;div class='ssArmyCard'&gt;&lt;div&gt;&lt;p class='marquee'&gt;The American Red Cross, also known as the American National Red Cross, is a non-profit humanitarian organization that provides emergency assistance, disaster relief, and disaster preparedness education in the United States.&lt;/p&gt;&lt;img src='assets/Card-172.png' class='ssCardImage' draggable='false' loading='lazy'&gt;&lt;/div&gt;&lt;div class='ssTitle'&gt;&lt;span id='A49Title'&gt;American Red Cross&lt;/span&gt;&lt;/div&gt;&lt;/div&gt;&lt;/div&gt;&lt;/div&gt;&lt;/div&gt;&lt;script&gt;var jsA49 = document.getElementById('dragA49').innerHTML;&lt;/script&gt;</v>
      </c>
      <c r="AA6" s="1" t="str">
        <f>CONCATENATE("var js",Table1[[#This Row],[IDs]]," = document.getElementbyId('drag",Table1[[#This Row],[IDs]],"').innerHTML; //  ",Table1[[#This Row],[Site]])</f>
        <v>var jsA49 = document.getElementbyId('dragA49').innerHTML; //  American Red Cross</v>
      </c>
    </row>
    <row r="7" spans="1:27" ht="15" x14ac:dyDescent="0.25">
      <c r="A7" s="1" t="s">
        <v>890</v>
      </c>
      <c r="B7" s="1" t="s">
        <v>890</v>
      </c>
      <c r="C7" s="9" t="s">
        <v>891</v>
      </c>
      <c r="D7" s="1" t="s">
        <v>1023</v>
      </c>
      <c r="E7" t="s">
        <v>908</v>
      </c>
      <c r="F7" s="2" t="s">
        <v>998</v>
      </c>
      <c r="G7" s="2" t="s">
        <v>900</v>
      </c>
      <c r="H7" s="2" t="s">
        <v>900</v>
      </c>
      <c r="I7" s="2"/>
      <c r="J7" s="2"/>
      <c r="K7" s="2"/>
      <c r="L7" s="2" t="s">
        <v>18</v>
      </c>
      <c r="M7" s="2"/>
      <c r="N7" s="2"/>
      <c r="O7" s="2"/>
      <c r="P7" s="2"/>
      <c r="Q7" s="2"/>
      <c r="R7" s="2"/>
      <c r="S7" s="2"/>
      <c r="T7" s="2"/>
      <c r="U7" s="2" t="s">
        <v>18</v>
      </c>
      <c r="V7" s="2"/>
      <c r="W7" s="3" t="str">
        <f>CONCATENATE("var js",Table1[[#This Row],[IDs]]," = document.getElementbyId('",Table1[[#This Row],[IDs]],"').innerHTML; //  ",Table1[[#This Row],[Site]])</f>
        <v>var jsA50 = document.getElementbyId('A50').innerHTML; //  American Red Cross Message</v>
      </c>
      <c r="X7" s="1" t="str">
        <f t="shared" si="0"/>
        <v xml:space="preserve">        &lt;!--American Red Cross Message - https://redcross.org/get-help/military-families/emergency-communication.html --&gt;&lt;div class='column catAll catFamily catUsGov' style='margin-bottom: 0px;' id='A50'&gt;&lt;a href='https://redcross.org/get-help/military-families/emergency-communication.html' rel='noopener noreferrer' class='column hideMarquee'&gt;&lt;div class='armyCardContainer card'&gt;&lt;div class='armyCard'&gt;&lt;div&gt;&lt;p class='marquee'&gt;In the event of a family emergancy, the American Red Cross can issue a red cross message to the unit of a service member. You can find out how to apply for one or submit one here.&lt;/p&gt;&lt;img src='assets/Card-172.png' class='cardImage' loading='lazy'&gt;&lt;/div&gt;&lt;div class='title'&gt;
          &lt;span&gt;American Red Cross Message&lt;/span&gt;&lt;/div&gt;&lt;/div&gt;&lt;/div&gt;&lt;/a&gt;&lt;/div&gt;&lt;script&gt;var jsA50 = document.getElementById('A50').innerHTML;&lt;/script&gt;</v>
      </c>
      <c r="Y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American Red Cross Message - https://redcross.org/get-help/military-families/emergency-communication.html --&gt;
      &lt;summary&gt;• &lt;a href='https://redcross.org/get-help/military-families/emergency-communication.html' rel='noopener noreferrer'&gt;American Red Cross Message - https://redcross.org/get-help/military-families/emergency-communication.html&lt;/a&gt;&lt;/summary&gt;
      &lt;p&gt;In the event of a family emergancy, the American Red Cross can issue a red cross message to the unit of a service member. You can find out how to apply for one or submit one here.&lt;/p&gt;
    &lt;/details&gt;</v>
      </c>
      <c r="Z7" s="1" t="str">
        <f t="shared" si="1"/>
        <v xml:space="preserve">          &lt;!-- American Red Cross Message - https://redcross.org/get-help/military-families/emergency-communication.html --&gt;&lt;div id='dragA50' class='catAll catFamily catUsGov'&gt;&lt;div class='column hideMarquee' draggable='true' ondragstart='drag(event)' value='A50' id='A50'&gt;&lt;div class='armyCardContainer ssCard'&gt;&lt;div class='ssArmyCard'&gt;&lt;div&gt;&lt;p class='marquee'&gt;In the event of a family emergancy, the American Red Cross can issue a red cross message to the unit of a service member. You can find out how to apply for one or submit one here.&lt;/p&gt;&lt;img src='assets/Card-172.png' class='ssCardImage' draggable='false' loading='lazy'&gt;&lt;/div&gt;&lt;div class='ssTitle'&gt;&lt;span id='A50Title'&gt;American Red Cross Message&lt;/span&gt;&lt;/div&gt;&lt;/div&gt;&lt;/div&gt;&lt;/div&gt;&lt;/div&gt;&lt;script&gt;var jsA50 = document.getElementById('dragA50').innerHTML;&lt;/script&gt;</v>
      </c>
      <c r="AA7" s="1" t="str">
        <f>CONCATENATE("var js",Table1[[#This Row],[IDs]]," = document.getElementbyId('drag",Table1[[#This Row],[IDs]],"').innerHTML; //  ",Table1[[#This Row],[Site]])</f>
        <v>var jsA50 = document.getElementbyId('dragA50').innerHTML; //  American Red Cross Message</v>
      </c>
    </row>
    <row r="8" spans="1:27" ht="15" x14ac:dyDescent="0.25">
      <c r="A8" t="s">
        <v>22</v>
      </c>
      <c r="B8" t="s">
        <v>22</v>
      </c>
      <c r="C8" s="10" t="s">
        <v>23</v>
      </c>
      <c r="D8" t="s">
        <v>559</v>
      </c>
      <c r="E8" t="s">
        <v>558</v>
      </c>
      <c r="F8" s="2" t="s">
        <v>24</v>
      </c>
      <c r="G8" s="2" t="s">
        <v>900</v>
      </c>
      <c r="H8" s="2" t="s">
        <v>552</v>
      </c>
      <c r="I8" s="2" t="s">
        <v>18</v>
      </c>
      <c r="J8" s="2"/>
      <c r="K8" s="2"/>
      <c r="L8" s="2"/>
      <c r="M8" s="2"/>
      <c r="N8" s="2"/>
      <c r="O8" s="2"/>
      <c r="P8" s="2"/>
      <c r="Q8" s="2"/>
      <c r="R8" s="2"/>
      <c r="S8" s="2"/>
      <c r="T8" s="2"/>
      <c r="U8" s="2"/>
      <c r="V8" s="2"/>
      <c r="W8" s="3" t="str">
        <f>CONCATENATE("var js",Table1[[#This Row],[IDs]]," = document.getElementbyId('",Table1[[#This Row],[IDs]],"').innerHTML; //  ",Table1[[#This Row],[Site]])</f>
        <v>var jsA02 = document.getElementbyId('A02').innerHTML; //  Anti-Terrorism Enterprise Portal</v>
      </c>
      <c r="X8" s="1" t="str">
        <f t="shared" si="0"/>
        <v xml:space="preserve">        &lt;!--Anti-Terrorism Enterprise Portal - https://army.deps.mil/army/sites/PMG/prog/ATEP/default.aspx --&gt;&lt;div class='column catAll catArmySites' style='margin-bottom: 0px;' id='A02'&gt;&lt;a href='https://army.deps.mil/army/sites/PMG/prog/ATEP/default.aspx' rel='noopener noreferrer' class='column hideMarquee'&gt;&lt;div class='armyCardContainer card'&gt;&lt;div class='armyCard'&gt;&lt;div&gt;&lt;p class='marquee'&gt;Anti-Terrorism Enterprise Portal gives you resources on how to spot and report possible terrorist activity.&lt;/p&gt;&lt;img src='assets/CaCRequired.png' title='A CAC is required to use some or all features of this site!' Class='cacLocked'&gt;&lt;img src='assets/Card-004.jpg' class='cardImage' loading='lazy'&gt;&lt;/div&gt;&lt;div class='title'&gt;
          &lt;span&gt;Anti-Terrorism Enterprise Portal&lt;/span&gt;&lt;/div&gt;&lt;/div&gt;&lt;/div&gt;&lt;/a&gt;&lt;/div&gt;&lt;script&gt;var jsA02 = document.getElementById('A02').innerHTML;&lt;/script&gt;</v>
      </c>
      <c r="Y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Anti-Terrorism Enterprise Portal - https://army.deps.mil/army/sites/PMG/prog/ATEP/default.aspx --&gt;
      &lt;summary&gt;• &lt;a href='https://army.deps.mil/army/sites/PMG/prog/ATEP/default.aspx' rel='noopener noreferrer'&gt;Anti-Terrorism Enterprise Portal - https://army.deps.mil/army/sites/PMG/prog/ATEP/default.aspx&lt;/a&gt;&lt;/summary&gt;
      &lt;p&gt;Anti-Terrorism Enterprise Portal gives you resources on how to spot and report possible terrorist activity.&lt;/p&gt;
    &lt;/details&gt;</v>
      </c>
      <c r="Z8" s="1" t="str">
        <f t="shared" si="1"/>
        <v xml:space="preserve">          &lt;!-- Anti-Terrorism Enterprise Portal - https://army.deps.mil/army/sites/PMG/prog/ATEP/default.aspx --&gt;&lt;div id='dragA02' class='catAll catArmySites'&gt;&lt;div class='column hideMarquee' draggable='true' ondragstart='drag(event)' value='A02' id='A02'&gt;&lt;div class='armyCardContainer ssCard'&gt;&lt;div class='ssArmyCard'&gt;&lt;div&gt;&lt;p class='marquee'&gt;Anti-Terrorism Enterprise Portal gives you resources on how to spot and report possible terrorist activity.&lt;/p&gt;&lt;img src='assets/Card-004.jpg' class='ssCardImage' draggable='false' loading='lazy'&gt;&lt;/div&gt;&lt;div class='ssTitle'&gt;&lt;span id='A02Title'&gt;Anti-Terrorism Enterprise Portal&lt;/span&gt;&lt;/div&gt;&lt;/div&gt;&lt;/div&gt;&lt;/div&gt;&lt;/div&gt;&lt;script&gt;var jsA02 = document.getElementById('dragA02').innerHTML;&lt;/script&gt;</v>
      </c>
      <c r="AA8" s="1" t="str">
        <f>CONCATENATE("var js",Table1[[#This Row],[IDs]]," = document.getElementbyId('drag",Table1[[#This Row],[IDs]],"').innerHTML; //  ",Table1[[#This Row],[Site]])</f>
        <v>var jsA02 = document.getElementbyId('dragA02').innerHTML; //  Anti-Terrorism Enterprise Portal</v>
      </c>
    </row>
    <row r="9" spans="1:27" ht="15" x14ac:dyDescent="0.25">
      <c r="A9" t="s">
        <v>25</v>
      </c>
      <c r="B9" t="s">
        <v>25</v>
      </c>
      <c r="C9" s="10" t="s">
        <v>532</v>
      </c>
      <c r="D9" t="s">
        <v>562</v>
      </c>
      <c r="E9" t="s">
        <v>561</v>
      </c>
      <c r="F9" s="2" t="s">
        <v>26</v>
      </c>
      <c r="G9" s="2" t="s">
        <v>900</v>
      </c>
      <c r="H9" s="2" t="s">
        <v>900</v>
      </c>
      <c r="I9" s="2"/>
      <c r="J9" s="2"/>
      <c r="K9" s="2"/>
      <c r="L9" s="2"/>
      <c r="M9" s="2"/>
      <c r="N9" s="2"/>
      <c r="O9" s="2"/>
      <c r="P9" s="2"/>
      <c r="Q9" s="2"/>
      <c r="R9" s="2" t="s">
        <v>18</v>
      </c>
      <c r="S9" s="2"/>
      <c r="T9" s="2"/>
      <c r="U9" s="2" t="s">
        <v>18</v>
      </c>
      <c r="V9" s="2"/>
      <c r="W9" s="3" t="str">
        <f>CONCATENATE("var js",Table1[[#This Row],[IDs]]," = document.getElementbyId('",Table1[[#This Row],[IDs]],"').innerHTML; //  ",Table1[[#This Row],[Site]])</f>
        <v>var jsA03 = document.getElementbyId('A03').innerHTML; //  Antivirus Home Use Program (AV HUP)</v>
      </c>
      <c r="X9" s="1" t="str">
        <f t="shared" si="0"/>
        <v xml:space="preserve">        &lt;!--Antivirus Home Use Program (AV HUP) - https://disa.mil/Cybersecurity/Network-Defense/Antivirus/Home-Use --&gt;&lt;div class='column catAll catTech catUsGov' style='margin-bottom: 0px;' id='A03'&gt;&lt;a href='https://disa.mil/Cybersecurity/Network-Defense/Antivirus/Home-Use' rel='noopener noreferrer' class='column hideMarquee'&gt;&lt;div class='armyCardContainer card'&gt;&lt;div class='armyCard'&gt;&lt;div&gt;&lt;p class='marquee'&gt;The DoD Antivirus Software License Agreement from McAfee allows active DoD employees and authorized government contractors to utilize the antivirus software for personal device protection. Home use of the antivirus products will not only protect personal PCs, but will also potentially lessen the likelihood of malicious threats being introduced to the workplace and compromising DoD networks. DISA Home Use is now being offered to government employees and defense contractors with an approved .mil email address.&lt;/p&gt;&lt;img src='assets/Card-054.png' class='cardImage' loading='lazy'&gt;&lt;/div&gt;&lt;div class='title'&gt;
          &lt;span&gt;Antivirus Home Use Program (AV HUP)&lt;/span&gt;&lt;/div&gt;&lt;/div&gt;&lt;/div&gt;&lt;/a&gt;&lt;/div&gt;&lt;script&gt;var jsA03 = document.getElementById('A03').innerHTML;&lt;/script&gt;</v>
      </c>
      <c r="Y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Antivirus Home Use Program (AV HUP) - https://disa.mil/Cybersecurity/Network-Defense/Antivirus/Home-Use --&gt;
      &lt;summary&gt;• &lt;a href='https://disa.mil/Cybersecurity/Network-Defense/Antivirus/Home-Use' rel='noopener noreferrer'&gt;Antivirus Home Use Program (AV HUP) - https://disa.mil/Cybersecurity/Network-Defense/Antivirus/Home-Use&lt;/a&gt;&lt;/summary&gt;
      &lt;p&gt;The DoD Antivirus Software License Agreement from McAfee allows active DoD employees and authorized government contractors to utilize the antivirus software for personal device protection. Home use of the antivirus products will not only protect personal PCs, but will also potentially lessen the likelihood of malicious threats being introduced to the workplace and compromising DoD networks. DISA Home Use is now being offered to government employees and defense contractors with an approved .mil email address.&lt;/p&gt;
    &lt;/details&gt;</v>
      </c>
      <c r="Z9" s="1" t="str">
        <f t="shared" si="1"/>
        <v xml:space="preserve">          &lt;!-- Antivirus Home Use Program (AV HUP) - https://disa.mil/Cybersecurity/Network-Defense/Antivirus/Home-Use --&gt;&lt;div id='dragA03' class='catAll catTech catUsGov'&gt;&lt;div class='column hideMarquee' draggable='true' ondragstart='drag(event)' value='A03' id='A03'&gt;&lt;div class='armyCardContainer ssCard'&gt;&lt;div class='ssArmyCard'&gt;&lt;div&gt;&lt;p class='marquee'&gt;The DoD Antivirus Software License Agreement from McAfee allows active DoD employees and authorized government contractors to utilize the antivirus software for personal device protection. Home use of the antivirus products will not only protect personal PCs, but will also potentially lessen the likelihood of malicious threats being introduced to the workplace and compromising DoD networks. DISA Home Use is now being offered to government employees and defense contractors with an approved .mil email address.&lt;/p&gt;&lt;img src='assets/Card-054.png' class='ssCardImage' draggable='false' loading='lazy'&gt;&lt;/div&gt;&lt;div class='ssTitle'&gt;&lt;span id='A03Title'&gt;Antivirus Home Use Program (AV HUP)&lt;/span&gt;&lt;/div&gt;&lt;/div&gt;&lt;/div&gt;&lt;/div&gt;&lt;/div&gt;&lt;script&gt;var jsA03 = document.getElementById('dragA03').innerHTML;&lt;/script&gt;</v>
      </c>
      <c r="AA9" s="1" t="str">
        <f>CONCATENATE("var js",Table1[[#This Row],[IDs]]," = document.getElementbyId('drag",Table1[[#This Row],[IDs]],"').innerHTML; //  ",Table1[[#This Row],[Site]])</f>
        <v>var jsA03 = document.getElementbyId('dragA03').innerHTML; //  Antivirus Home Use Program (AV HUP)</v>
      </c>
    </row>
    <row r="10" spans="1:27" ht="15" x14ac:dyDescent="0.25">
      <c r="A10" t="s">
        <v>484</v>
      </c>
      <c r="B10" t="s">
        <v>484</v>
      </c>
      <c r="C10" s="10" t="s">
        <v>1037</v>
      </c>
      <c r="D10" t="s">
        <v>563</v>
      </c>
      <c r="E10" t="s">
        <v>868</v>
      </c>
      <c r="F10" s="2" t="s">
        <v>428</v>
      </c>
      <c r="G10" s="2" t="s">
        <v>900</v>
      </c>
      <c r="H10" s="2" t="s">
        <v>552</v>
      </c>
      <c r="I10" s="2" t="s">
        <v>18</v>
      </c>
      <c r="J10" s="2"/>
      <c r="K10" s="2"/>
      <c r="L10" s="2"/>
      <c r="M10" s="2"/>
      <c r="N10" s="2"/>
      <c r="O10" s="2"/>
      <c r="P10" s="2"/>
      <c r="Q10" s="2"/>
      <c r="R10" s="2" t="s">
        <v>18</v>
      </c>
      <c r="S10" s="2"/>
      <c r="T10" s="2"/>
      <c r="U10" s="2"/>
      <c r="V10" s="2"/>
      <c r="W10" s="3" t="str">
        <f>CONCATENATE("var js",Table1[[#This Row],[IDs]]," = document.getElementbyId('",Table1[[#This Row],[IDs]],"').innerHTML; //  ",Table1[[#This Row],[Site]])</f>
        <v>var jsA42 = document.getElementbyId('A42').innerHTML; //  Army 365 - Azure Portal</v>
      </c>
      <c r="X10" s="1" t="str">
        <f t="shared" si="0"/>
        <v xml:space="preserve">        &lt;!--Army 365 - Azure Portal - https://portal.azure.us/?domain_hint=army.mil --&gt;&lt;div class='column catAll catArmySites catTech' style='margin-bottom: 0px;' id='A42'&gt;&lt;a href='https://portal.azure.us/?domain_hint=army.mil' rel='noopener noreferrer' class='column hideMarquee'&gt;&lt;div class='armyCardContainer card'&gt;&lt;div class='armyCard'&gt;&lt;div&gt;&lt;p class='marquee'&gt;Army 365 - Azure, is Microsoft's public cloud computing platform. It provides a range of cloud services, including compute, analytics, storage and networking. Please note that not all Soldier will have access to this.&lt;/p&gt;&lt;img src='assets/CaCRequired.png' title='A CAC is required to use some or all features of this site!' Class='cacLocked'&gt;&lt;img src='assets/Card-133.png' class='cardImage' loading='lazy'&gt;&lt;/div&gt;&lt;div class='title'&gt;
          &lt;span&gt;Army 365 - Azure Portal&lt;/span&gt;&lt;/div&gt;&lt;/div&gt;&lt;/div&gt;&lt;/a&gt;&lt;/div&gt;&lt;script&gt;var jsA42 = document.getElementById('A42').innerHTML;&lt;/script&gt;</v>
      </c>
      <c r="Y1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Azure Portal - https://portal.azure.us/?domain_hint=army.mil --&gt;
      &lt;summary&gt;• &lt;a href='https://portal.azure.us/?domain_hint=army.mil' rel='noopener noreferrer'&gt;Army 365 - Azure Portal - https://portal.azure.us/?domain_hint=army.mil&lt;/a&gt;&lt;/summary&gt;
      &lt;p&gt;Army 365 - Azure, is Microsoft's public cloud computing platform. It provides a range of cloud services, including compute, analytics, storage and networking. Please note that not all Soldier will have access to this.&lt;/p&gt;
    &lt;/details&gt;</v>
      </c>
      <c r="Z10" s="1" t="str">
        <f t="shared" si="1"/>
        <v xml:space="preserve">          &lt;!-- Army 365 - Azure Portal - https://portal.azure.us/?domain_hint=army.mil --&gt;&lt;div id='dragA42' class='catAll catArmySites catTech'&gt;&lt;div class='column hideMarquee' draggable='true' ondragstart='drag(event)' value='A42' id='A42'&gt;&lt;div class='armyCardContainer ssCard'&gt;&lt;div class='ssArmyCard'&gt;&lt;div&gt;&lt;p class='marquee'&gt;Army 365 - Azure, is Microsoft's public cloud computing platform. It provides a range of cloud services, including compute, analytics, storage and networking. Please note that not all Soldier will have access to this.&lt;/p&gt;&lt;img src='assets/Card-133.png' class='ssCardImage' draggable='false' loading='lazy'&gt;&lt;/div&gt;&lt;div class='ssTitle'&gt;&lt;span id='A42Title'&gt;Army 365 - Azure Portal&lt;/span&gt;&lt;/div&gt;&lt;/div&gt;&lt;/div&gt;&lt;/div&gt;&lt;/div&gt;&lt;script&gt;var jsA42 = document.getElementById('dragA42').innerHTML;&lt;/script&gt;</v>
      </c>
      <c r="AA10" s="1" t="str">
        <f>CONCATENATE("var js",Table1[[#This Row],[IDs]]," = document.getElementbyId('drag",Table1[[#This Row],[IDs]],"').innerHTML; //  ",Table1[[#This Row],[Site]])</f>
        <v>var jsA42 = document.getElementbyId('dragA42').innerHTML; //  Army 365 - Azure Portal</v>
      </c>
    </row>
    <row r="11" spans="1:27" ht="15" x14ac:dyDescent="0.25">
      <c r="A11" t="s">
        <v>526</v>
      </c>
      <c r="B11" t="s">
        <v>526</v>
      </c>
      <c r="C11" s="9" t="s">
        <v>1036</v>
      </c>
      <c r="D11" t="s">
        <v>969</v>
      </c>
      <c r="E11" t="s">
        <v>869</v>
      </c>
      <c r="F11" s="2" t="s">
        <v>999</v>
      </c>
      <c r="G11" s="2" t="s">
        <v>900</v>
      </c>
      <c r="H11" s="2" t="s">
        <v>552</v>
      </c>
      <c r="I11" s="2" t="s">
        <v>18</v>
      </c>
      <c r="J11" s="2"/>
      <c r="K11" s="2"/>
      <c r="L11" s="2"/>
      <c r="M11" s="2"/>
      <c r="N11" s="2"/>
      <c r="O11" s="2"/>
      <c r="P11" s="2"/>
      <c r="Q11" s="2"/>
      <c r="R11" s="2" t="s">
        <v>18</v>
      </c>
      <c r="S11" s="2"/>
      <c r="T11" s="2"/>
      <c r="U11" s="2"/>
      <c r="V11" s="2"/>
      <c r="W11" s="3" t="str">
        <f>CONCATENATE("var js",Table1[[#This Row],[IDs]]," = document.getElementbyId('",Table1[[#This Row],[IDs]],"').innerHTML; //  ",Table1[[#This Row],[Site]])</f>
        <v>var jsA51 = document.getElementbyId('A51').innerHTML; //  Army 365 - Excel</v>
      </c>
      <c r="X11" s="1" t="str">
        <f t="shared" si="0"/>
        <v xml:space="preserve">        &lt;!--Army 365 - Excel - https://www.ohome.apps.mil/launch/excel?domain_hint=army.mil --&gt;&lt;div class='column catAll catArmySites catTech' style='margin-bottom: 0px;' id='A51'&gt;&lt;a href='https://www.ohome.apps.mil/launch/excel?domain_hint=army.mil' rel='noopener noreferrer' class='column hideMarquee'&gt;&lt;div class='armyCardContainer card'&gt;&lt;div class='armyCard'&gt;&lt;div&gt;&lt;p class='marquee'&gt;Army 365 - Excel, a spreadsheet developed by Microsoft for Windows, macOS, Android and iOS. It features calculation or computation capabilities, graphing tools, pivot tables, and a macro programming language called Visual Basic for Applications. Excel forms part of the Microsoft Office suite of software&lt;/p&gt;&lt;img src='assets/CaCRequired.png' title='A CAC is required to use some or all features of this site!' Class='cacLocked'&gt;&lt;img src='assets/Card-155.png' class='cardImage' loading='lazy'&gt;&lt;/div&gt;&lt;div class='title'&gt;
          &lt;span&gt;Army 365 - Excel&lt;/span&gt;&lt;/div&gt;&lt;/div&gt;&lt;/div&gt;&lt;/a&gt;&lt;/div&gt;&lt;script&gt;var jsA51 = document.getElementById('A51').innerHTML;&lt;/script&gt;</v>
      </c>
      <c r="Y1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Excel - https://www.ohome.apps.mil/launch/excel?domain_hint=army.mil --&gt;
      &lt;summary&gt;• &lt;a href='https://www.ohome.apps.mil/launch/excel?domain_hint=army.mil' rel='noopener noreferrer'&gt;Army 365 - Excel - https://www.ohome.apps.mil/launch/excel?domain_hint=army.mil&lt;/a&gt;&lt;/summary&gt;
      &lt;p&gt;Army 365 - Excel, a spreadsheet developed by Microsoft for Windows, macOS, Android and iOS. It features calculation or computation capabilities, graphing tools, pivot tables, and a macro programming language called Visual Basic for Applications. Excel forms part of the Microsoft Office suite of software&lt;/p&gt;
    &lt;/details&gt;</v>
      </c>
      <c r="Z11" s="1" t="str">
        <f t="shared" si="1"/>
        <v xml:space="preserve">          &lt;!-- Army 365 - Excel - https://www.ohome.apps.mil/launch/excel?domain_hint=army.mil --&gt;&lt;div id='dragA51' class='catAll catArmySites catTech'&gt;&lt;div class='column hideMarquee' draggable='true' ondragstart='drag(event)' value='A51' id='A51'&gt;&lt;div class='armyCardContainer ssCard'&gt;&lt;div class='ssArmyCard'&gt;&lt;div&gt;&lt;p class='marquee'&gt;Army 365 - Excel, a spreadsheet developed by Microsoft for Windows, macOS, Android and iOS. It features calculation or computation capabilities, graphing tools, pivot tables, and a macro programming language called Visual Basic for Applications. Excel forms part of the Microsoft Office suite of software&lt;/p&gt;&lt;img src='assets/Card-155.png' class='ssCardImage' draggable='false' loading='lazy'&gt;&lt;/div&gt;&lt;div class='ssTitle'&gt;&lt;span id='A51Title'&gt;Army 365 - Excel&lt;/span&gt;&lt;/div&gt;&lt;/div&gt;&lt;/div&gt;&lt;/div&gt;&lt;/div&gt;&lt;script&gt;var jsA51 = document.getElementById('dragA51').innerHTML;&lt;/script&gt;</v>
      </c>
      <c r="AA11" s="1" t="str">
        <f>CONCATENATE("var js",Table1[[#This Row],[IDs]]," = document.getElementbyId('drag",Table1[[#This Row],[IDs]],"').innerHTML; //  ",Table1[[#This Row],[Site]])</f>
        <v>var jsA51 = document.getElementbyId('dragA51').innerHTML; //  Army 365 - Excel</v>
      </c>
    </row>
    <row r="12" spans="1:27" ht="15" x14ac:dyDescent="0.25">
      <c r="A12" t="s">
        <v>481</v>
      </c>
      <c r="B12" t="s">
        <v>481</v>
      </c>
      <c r="C12" s="10" t="s">
        <v>1038</v>
      </c>
      <c r="D12" t="s">
        <v>565</v>
      </c>
      <c r="E12" t="s">
        <v>564</v>
      </c>
      <c r="F12" s="2" t="s">
        <v>427</v>
      </c>
      <c r="G12" s="2" t="s">
        <v>900</v>
      </c>
      <c r="H12" s="2" t="s">
        <v>552</v>
      </c>
      <c r="I12" s="2" t="s">
        <v>18</v>
      </c>
      <c r="J12" s="2"/>
      <c r="K12" s="2"/>
      <c r="L12" s="2"/>
      <c r="M12" s="2"/>
      <c r="N12" s="2"/>
      <c r="O12" s="2"/>
      <c r="P12" s="2"/>
      <c r="Q12" s="2"/>
      <c r="R12" s="2" t="s">
        <v>18</v>
      </c>
      <c r="S12" s="2"/>
      <c r="T12" s="2"/>
      <c r="U12" s="2"/>
      <c r="V12" s="2"/>
      <c r="W12" s="3" t="str">
        <f>CONCATENATE("var js",Table1[[#This Row],[IDs]]," = document.getElementbyId('",Table1[[#This Row],[IDs]],"').innerHTML; //  ",Table1[[#This Row],[Site]])</f>
        <v>var jsA43 = document.getElementbyId('A43').innerHTML; //  Army 365 - Home</v>
      </c>
      <c r="X12" s="1" t="str">
        <f t="shared" si="0"/>
        <v xml:space="preserve">        &lt;!--Army 365 - Home - https://www.ohome.apps.mil/?domain_hint=army.mil --&gt;&lt;div class='column catAll catArmySites catTech' style='margin-bottom: 0px;' id='A43'&gt;&lt;a href='https://www.ohome.apps.mil/?domain_hint=army.mil' rel='noopener noreferrer' class='column hideMarquee'&gt;&lt;div class='armyCardContainer card'&gt;&lt;div class='armyCard'&gt;&lt;div&gt;&lt;p class='marquee'&gt;Army 365, which leverages Microsoft 365 capabilities, provides the Army with an enduring capability to collaborate across the force. The system hosts a range of resources to include video and voice teleconferencing, email, instant messaging, and access to shared drives.&lt;/p&gt;&lt;img src='assets/CaCRequired.png' title='A CAC is required to use some or all features of this site!' Class='cacLocked'&gt;&lt;img src='assets/Card-140.jpg' class='cardImage' loading='lazy'&gt;&lt;/div&gt;&lt;div class='title'&gt;
          &lt;span&gt;Army 365 - Home&lt;/span&gt;&lt;/div&gt;&lt;/div&gt;&lt;/div&gt;&lt;/a&gt;&lt;/div&gt;&lt;script&gt;var jsA43 = document.getElementById('A43').innerHTML;&lt;/script&gt;</v>
      </c>
      <c r="Y1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Home - https://www.ohome.apps.mil/?domain_hint=army.mil --&gt;
      &lt;summary&gt;• &lt;a href='https://www.ohome.apps.mil/?domain_hint=army.mil' rel='noopener noreferrer'&gt;Army 365 - Home - https://www.ohome.apps.mil/?domain_hint=army.mil&lt;/a&gt;&lt;/summary&gt;
      &lt;p&gt;Army 365, which leverages Microsoft 365 capabilities, provides the Army with an enduring capability to collaborate across the force. The system hosts a range of resources to include video and voice teleconferencing, email, instant messaging, and access to shared drives.&lt;/p&gt;
    &lt;/details&gt;</v>
      </c>
      <c r="Z12" s="1" t="str">
        <f t="shared" si="1"/>
        <v xml:space="preserve">          &lt;!-- Army 365 - Home - https://www.ohome.apps.mil/?domain_hint=army.mil --&gt;&lt;div id='dragA43' class='catAll catArmySites catTech'&gt;&lt;div class='column hideMarquee' draggable='true' ondragstart='drag(event)' value='A43' id='A43'&gt;&lt;div class='armyCardContainer ssCard'&gt;&lt;div class='ssArmyCard'&gt;&lt;div&gt;&lt;p class='marquee'&gt;Army 365, which leverages Microsoft 365 capabilities, provides the Army with an enduring capability to collaborate across the force. The system hosts a range of resources to include video and voice teleconferencing, email, instant messaging, and access to shared drives.&lt;/p&gt;&lt;img src='assets/Card-140.jpg' class='ssCardImage' draggable='false' loading='lazy'&gt;&lt;/div&gt;&lt;div class='ssTitle'&gt;&lt;span id='A43Title'&gt;Army 365 - Home&lt;/span&gt;&lt;/div&gt;&lt;/div&gt;&lt;/div&gt;&lt;/div&gt;&lt;/div&gt;&lt;script&gt;var jsA43 = document.getElementById('dragA43').innerHTML;&lt;/script&gt;</v>
      </c>
      <c r="AA12" s="1" t="str">
        <f>CONCATENATE("var js",Table1[[#This Row],[IDs]]," = document.getElementbyId('drag",Table1[[#This Row],[IDs]],"').innerHTML; //  ",Table1[[#This Row],[Site]])</f>
        <v>var jsA43 = document.getElementbyId('dragA43').innerHTML; //  Army 365 - Home</v>
      </c>
    </row>
    <row r="13" spans="1:27" ht="15" x14ac:dyDescent="0.25">
      <c r="A13" t="s">
        <v>482</v>
      </c>
      <c r="B13" t="s">
        <v>482</v>
      </c>
      <c r="C13" s="10" t="s">
        <v>1079</v>
      </c>
      <c r="D13" t="s">
        <v>567</v>
      </c>
      <c r="E13" t="s">
        <v>566</v>
      </c>
      <c r="F13" s="2" t="s">
        <v>426</v>
      </c>
      <c r="G13" s="2" t="s">
        <v>900</v>
      </c>
      <c r="H13" s="2" t="s">
        <v>552</v>
      </c>
      <c r="I13" s="2" t="s">
        <v>18</v>
      </c>
      <c r="J13" s="2"/>
      <c r="K13" s="2"/>
      <c r="L13" s="2"/>
      <c r="M13" s="2"/>
      <c r="N13" s="2"/>
      <c r="O13" s="2"/>
      <c r="P13" s="2"/>
      <c r="Q13" s="2"/>
      <c r="R13" s="2" t="s">
        <v>18</v>
      </c>
      <c r="S13" s="2"/>
      <c r="T13" s="2"/>
      <c r="U13" s="2"/>
      <c r="V13" s="2"/>
      <c r="W13" s="3" t="str">
        <f>CONCATENATE("var js",Table1[[#This Row],[IDs]]," = document.getElementbyId('",Table1[[#This Row],[IDs]],"').innerHTML; //  ",Table1[[#This Row],[Site]])</f>
        <v>var jsA44 = document.getElementbyId('A44').innerHTML; //  Army 365 - Information Hub</v>
      </c>
      <c r="X13" s="1" t="str">
        <f t="shared" si="0"/>
        <v xml:space="preserve">        &lt;!--Army 365 - Information Hub - https://armyeitaas.sharepoint-mil.us/_layouts/15/sharepoint.aspx? --&gt;&lt;div class='column catAll catArmySites catTech' style='margin-bottom: 0px;' id='A44'&gt;&lt;a href='https://armyeitaas.sharepoint-mil.us/_layouts/15/sharepoint.aspx?' rel='noopener noreferrer' class='column hideMarquee'&gt;&lt;div class='armyCardContainer card'&gt;&lt;div class='armyCard'&gt;&lt;div&gt;&lt;p class='marquee'&gt;Milsuite but with Microsoft 365.&lt;/p&gt;&lt;img src='assets/CaCRequired.png' title='A CAC is required to use some or all features of this site!' Class='cacLocked'&gt;&lt;img src='assets/Card-090.png' class='cardImage' loading='lazy'&gt;&lt;/div&gt;&lt;div class='title'&gt;
          &lt;span&gt;Army 365 - Information Hub&lt;/span&gt;&lt;/div&gt;&lt;/div&gt;&lt;/div&gt;&lt;/a&gt;&lt;/div&gt;&lt;script&gt;var jsA44 = document.getElementById('A44').innerHTML;&lt;/script&gt;</v>
      </c>
      <c r="Y1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Information Hub - https://armyeitaas.sharepoint-mil.us/_layouts/15/sharepoint.aspx? --&gt;
      &lt;summary&gt;• &lt;a href='https://armyeitaas.sharepoint-mil.us/_layouts/15/sharepoint.aspx?' rel='noopener noreferrer'&gt;Army 365 - Information Hub - https://armyeitaas.sharepoint-mil.us/_layouts/15/sharepoint.aspx?&lt;/a&gt;&lt;/summary&gt;
      &lt;p&gt;Milsuite but with Microsoft 365.&lt;/p&gt;
    &lt;/details&gt;</v>
      </c>
      <c r="Z13" s="1" t="str">
        <f t="shared" si="1"/>
        <v xml:space="preserve">          &lt;!-- Army 365 - Information Hub - https://armyeitaas.sharepoint-mil.us/_layouts/15/sharepoint.aspx? --&gt;&lt;div id='dragA44' class='catAll catArmySites catTech'&gt;&lt;div class='column hideMarquee' draggable='true' ondragstart='drag(event)' value='A44' id='A44'&gt;&lt;div class='armyCardContainer ssCard'&gt;&lt;div class='ssArmyCard'&gt;&lt;div&gt;&lt;p class='marquee'&gt;Milsuite but with Microsoft 365.&lt;/p&gt;&lt;img src='assets/Card-090.png' class='ssCardImage' draggable='false' loading='lazy'&gt;&lt;/div&gt;&lt;div class='ssTitle'&gt;&lt;span id='A44Title'&gt;Army 365 - Information Hub&lt;/span&gt;&lt;/div&gt;&lt;/div&gt;&lt;/div&gt;&lt;/div&gt;&lt;/div&gt;&lt;script&gt;var jsA44 = document.getElementById('dragA44').innerHTML;&lt;/script&gt;</v>
      </c>
      <c r="AA13" s="1" t="str">
        <f>CONCATENATE("var js",Table1[[#This Row],[IDs]]," = document.getElementbyId('drag",Table1[[#This Row],[IDs]],"').innerHTML; //  ",Table1[[#This Row],[Site]])</f>
        <v>var jsA44 = document.getElementbyId('dragA44').innerHTML; //  Army 365 - Information Hub</v>
      </c>
    </row>
    <row r="14" spans="1:27" ht="15" x14ac:dyDescent="0.25">
      <c r="A14" t="s">
        <v>534</v>
      </c>
      <c r="B14" t="s">
        <v>534</v>
      </c>
      <c r="C14" s="10" t="s">
        <v>485</v>
      </c>
      <c r="D14" t="s">
        <v>975</v>
      </c>
      <c r="E14" t="s">
        <v>870</v>
      </c>
      <c r="F14" s="2" t="s">
        <v>1000</v>
      </c>
      <c r="G14" s="2" t="s">
        <v>900</v>
      </c>
      <c r="H14" s="2" t="s">
        <v>552</v>
      </c>
      <c r="I14" s="2" t="s">
        <v>18</v>
      </c>
      <c r="J14" s="2"/>
      <c r="K14" s="2"/>
      <c r="L14" s="2"/>
      <c r="M14" s="2"/>
      <c r="N14" s="2"/>
      <c r="O14" s="2"/>
      <c r="P14" s="2"/>
      <c r="Q14" s="2"/>
      <c r="R14" s="2" t="s">
        <v>18</v>
      </c>
      <c r="S14" s="2"/>
      <c r="T14" s="2"/>
      <c r="U14" s="2"/>
      <c r="V14" s="2"/>
      <c r="W14" s="3" t="str">
        <f>CONCATENATE("var js",Table1[[#This Row],[IDs]]," = document.getElementbyId('",Table1[[#This Row],[IDs]],"').innerHTML; //  ",Table1[[#This Row],[Site]])</f>
        <v>var jsA52 = document.getElementbyId('A52').innerHTML; //  Army 365 - OneDrive</v>
      </c>
      <c r="X14" s="1" t="str">
        <f t="shared" si="0"/>
        <v xml:space="preserve">        &lt;!--Army 365 - OneDrive - https://armyeitaas-my.sharepoint-mil.us/ --&gt;&lt;div class='column catAll catArmySites catTech' style='margin-bottom: 0px;' id='A52'&gt;&lt;a href='https://armyeitaas-my.sharepoint-mil.us/' rel='noopener noreferrer' class='column hideMarquee'&gt;&lt;div class='armyCardContainer card'&gt;&lt;div class='armyCard'&gt;&lt;div&gt;&lt;p class='marquee'&gt;Army 365 - OneDrive, Anywhere access. Easily store, access, and discover your individual and shared work files in Microsoft 365, including Microsoft Teams, from all your devices.&lt;/p&gt;&lt;img src='assets/CaCRequired.png' title='A CAC is required to use some or all features of this site!' Class='cacLocked'&gt;&lt;img src='assets/Card-171.png' class='cardImage' loading='lazy'&gt;&lt;/div&gt;&lt;div class='title'&gt;
          &lt;span&gt;Army 365 - OneDrive&lt;/span&gt;&lt;/div&gt;&lt;/div&gt;&lt;/div&gt;&lt;/a&gt;&lt;/div&gt;&lt;script&gt;var jsA52 = document.getElementById('A52').innerHTML;&lt;/script&gt;</v>
      </c>
      <c r="Y1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OneDrive - https://armyeitaas-my.sharepoint-mil.us/ --&gt;
      &lt;summary&gt;• &lt;a href='https://armyeitaas-my.sharepoint-mil.us/' rel='noopener noreferrer'&gt;Army 365 - OneDrive - https://armyeitaas-my.sharepoint-mil.us/&lt;/a&gt;&lt;/summary&gt;
      &lt;p&gt;Army 365 - OneDrive, Anywhere access. Easily store, access, and discover your individual and shared work files in Microsoft 365, including Microsoft Teams, from all your devices.&lt;/p&gt;
    &lt;/details&gt;</v>
      </c>
      <c r="Z14" s="1" t="str">
        <f t="shared" si="1"/>
        <v xml:space="preserve">          &lt;!-- Army 365 - OneDrive - https://armyeitaas-my.sharepoint-mil.us/ --&gt;&lt;div id='dragA52' class='catAll catArmySites catTech'&gt;&lt;div class='column hideMarquee' draggable='true' ondragstart='drag(event)' value='A52' id='A52'&gt;&lt;div class='armyCardContainer ssCard'&gt;&lt;div class='ssArmyCard'&gt;&lt;div&gt;&lt;p class='marquee'&gt;Army 365 - OneDrive, Anywhere access. Easily store, access, and discover your individual and shared work files in Microsoft 365, including Microsoft Teams, from all your devices.&lt;/p&gt;&lt;img src='assets/Card-171.png' class='ssCardImage' draggable='false' loading='lazy'&gt;&lt;/div&gt;&lt;div class='ssTitle'&gt;&lt;span id='A52Title'&gt;Army 365 - OneDrive&lt;/span&gt;&lt;/div&gt;&lt;/div&gt;&lt;/div&gt;&lt;/div&gt;&lt;/div&gt;&lt;script&gt;var jsA52 = document.getElementById('dragA52').innerHTML;&lt;/script&gt;</v>
      </c>
      <c r="AA14" s="1" t="str">
        <f>CONCATENATE("var js",Table1[[#This Row],[IDs]]," = document.getElementbyId('drag",Table1[[#This Row],[IDs]],"').innerHTML; //  ",Table1[[#This Row],[Site]])</f>
        <v>var jsA52 = document.getElementbyId('dragA52').innerHTML; //  Army 365 - OneDrive</v>
      </c>
    </row>
    <row r="15" spans="1:27" ht="15" x14ac:dyDescent="0.25">
      <c r="A15" t="s">
        <v>536</v>
      </c>
      <c r="B15" t="s">
        <v>536</v>
      </c>
      <c r="C15" s="9" t="s">
        <v>1039</v>
      </c>
      <c r="D15" t="s">
        <v>961</v>
      </c>
      <c r="E15" t="s">
        <v>871</v>
      </c>
      <c r="F15" s="2" t="s">
        <v>1001</v>
      </c>
      <c r="G15" s="2" t="s">
        <v>900</v>
      </c>
      <c r="H15" s="2" t="s">
        <v>552</v>
      </c>
      <c r="I15" s="2" t="s">
        <v>18</v>
      </c>
      <c r="J15" s="2"/>
      <c r="K15" s="2"/>
      <c r="L15" s="2"/>
      <c r="M15" s="2"/>
      <c r="N15" s="2"/>
      <c r="O15" s="2"/>
      <c r="P15" s="2"/>
      <c r="Q15" s="2"/>
      <c r="R15" s="2" t="s">
        <v>18</v>
      </c>
      <c r="S15" s="2"/>
      <c r="T15" s="2"/>
      <c r="U15" s="2"/>
      <c r="V15" s="2"/>
      <c r="W15" s="3" t="str">
        <f>CONCATENATE("var js",Table1[[#This Row],[IDs]]," = document.getElementbyId('",Table1[[#This Row],[IDs]],"').innerHTML; //  ",Table1[[#This Row],[Site]])</f>
        <v>var jsA53 = document.getElementbyId('A53').innerHTML; //  Army 365 - Onenote</v>
      </c>
      <c r="X15" s="1" t="str">
        <f t="shared" si="0"/>
        <v xml:space="preserve">        &lt;!--Army 365 - Onenote - https://onenote.osi.apps.mil/notebooks?domain_hint=army.mil --&gt;&lt;div class='column catAll catArmySites catTech' style='margin-bottom: 0px;' id='A53'&gt;&lt;a href='https://onenote.osi.apps.mil/notebooks?domain_hint=army.mil' rel='noopener noreferrer' class='column hideMarquee'&gt;&lt;div class='armyCardContainer card'&gt;&lt;div class='armyCard'&gt;&lt;div&gt;&lt;p class='marquee'&gt;Army 365 - OneNote, a digital note-taking app that provides a single place for keeping all of your notes, research, plans, and information — everything you need to remember and manage in your life at home, at work, or at school. In OneNote, notebooks never run out of paper.&lt;/p&gt;&lt;img src='assets/CaCRequired.png' title='A CAC is required to use some or all features of this site!' Class='cacLocked'&gt;&lt;img src='assets/Card-167.png' class='cardImage' loading='lazy'&gt;&lt;/div&gt;&lt;div class='title'&gt;
          &lt;span&gt;Army 365 - Onenote&lt;/span&gt;&lt;/div&gt;&lt;/div&gt;&lt;/div&gt;&lt;/a&gt;&lt;/div&gt;&lt;script&gt;var jsA53 = document.getElementById('A53').innerHTML;&lt;/script&gt;</v>
      </c>
      <c r="Y1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Onenote - https://onenote.osi.apps.mil/notebooks?domain_hint=army.mil --&gt;
      &lt;summary&gt;• &lt;a href='https://onenote.osi.apps.mil/notebooks?domain_hint=army.mil' rel='noopener noreferrer'&gt;Army 365 - Onenote - https://onenote.osi.apps.mil/notebooks?domain_hint=army.mil&lt;/a&gt;&lt;/summary&gt;
      &lt;p&gt;Army 365 - OneNote, a digital note-taking app that provides a single place for keeping all of your notes, research, plans, and information — everything you need to remember and manage in your life at home, at work, or at school. In OneNote, notebooks never run out of paper.&lt;/p&gt;
    &lt;/details&gt;</v>
      </c>
      <c r="Z15" s="1" t="str">
        <f t="shared" si="1"/>
        <v xml:space="preserve">          &lt;!-- Army 365 - Onenote - https://onenote.osi.apps.mil/notebooks?domain_hint=army.mil --&gt;&lt;div id='dragA53' class='catAll catArmySites catTech'&gt;&lt;div class='column hideMarquee' draggable='true' ondragstart='drag(event)' value='A53' id='A53'&gt;&lt;div class='armyCardContainer ssCard'&gt;&lt;div class='ssArmyCard'&gt;&lt;div&gt;&lt;p class='marquee'&gt;Army 365 - OneNote, a digital note-taking app that provides a single place for keeping all of your notes, research, plans, and information — everything you need to remember and manage in your life at home, at work, or at school. In OneNote, notebooks never run out of paper.&lt;/p&gt;&lt;img src='assets/Card-167.png' class='ssCardImage' draggable='false' loading='lazy'&gt;&lt;/div&gt;&lt;div class='ssTitle'&gt;&lt;span id='A53Title'&gt;Army 365 - Onenote&lt;/span&gt;&lt;/div&gt;&lt;/div&gt;&lt;/div&gt;&lt;/div&gt;&lt;/div&gt;&lt;script&gt;var jsA53 = document.getElementById('dragA53').innerHTML;&lt;/script&gt;</v>
      </c>
      <c r="AA15" s="1" t="str">
        <f>CONCATENATE("var js",Table1[[#This Row],[IDs]]," = document.getElementbyId('drag",Table1[[#This Row],[IDs]],"').innerHTML; //  ",Table1[[#This Row],[Site]])</f>
        <v>var jsA53 = document.getElementbyId('dragA53').innerHTML; //  Army 365 - Onenote</v>
      </c>
    </row>
    <row r="16" spans="1:27" ht="15" x14ac:dyDescent="0.25">
      <c r="A16" t="s">
        <v>537</v>
      </c>
      <c r="B16" t="s">
        <v>537</v>
      </c>
      <c r="C16" s="9" t="s">
        <v>538</v>
      </c>
      <c r="D16" t="s">
        <v>970</v>
      </c>
      <c r="E16" t="s">
        <v>873</v>
      </c>
      <c r="F16" s="2" t="s">
        <v>1002</v>
      </c>
      <c r="G16" s="2" t="s">
        <v>900</v>
      </c>
      <c r="H16" s="2" t="s">
        <v>552</v>
      </c>
      <c r="I16" s="2" t="s">
        <v>18</v>
      </c>
      <c r="J16" s="2"/>
      <c r="K16" s="2"/>
      <c r="L16" s="2"/>
      <c r="M16" s="2"/>
      <c r="N16" s="2"/>
      <c r="O16" s="2"/>
      <c r="P16" s="2"/>
      <c r="Q16" s="2"/>
      <c r="R16" s="2" t="s">
        <v>18</v>
      </c>
      <c r="S16" s="2"/>
      <c r="T16" s="2"/>
      <c r="U16" s="2"/>
      <c r="V16" s="2"/>
      <c r="W16" s="3" t="str">
        <f>CONCATENATE("var js",Table1[[#This Row],[IDs]]," = document.getElementbyId('",Table1[[#This Row],[IDs]],"').innerHTML; //  ",Table1[[#This Row],[Site]])</f>
        <v>var jsA54 = document.getElementbyId('A54').innerHTML; //  Army 365 - Planner</v>
      </c>
      <c r="X16" s="1" t="str">
        <f t="shared" si="0"/>
        <v xml:space="preserve">        &lt;!--Army 365 - Planner - https://tasks.osi.apps.mil/armyeitaas.onmicrosoft.us/en-US/Home/Planner/ --&gt;&lt;div class='column catAll catArmySites catTech' style='margin-bottom: 0px;' id='A54'&gt;&lt;a href='https://tasks.osi.apps.mil/armyeitaas.onmicrosoft.us/en-US/Home/Planner/' rel='noopener noreferrer' class='column hideMarquee'&gt;&lt;div class='armyCardContainer card'&gt;&lt;div class='armyCard'&gt;&lt;div&gt;&lt;p class='marquee'&gt;Army 365 - Planner, a planning application available on the Microsoft 365 platform. The application is available to premium, business, and educational subscribers to Microsoft 365. Microsoft Planner is a team-work oriented tool that can be used in a variety of ways.&lt;/p&gt;&lt;img src='assets/CaCRequired.png' title='A CAC is required to use some or all features of this site!' Class='cacLocked'&gt;&lt;img src='assets/Card-156.png' class='cardImage' loading='lazy'&gt;&lt;/div&gt;&lt;div class='title'&gt;
          &lt;span&gt;Army 365 - Planner&lt;/span&gt;&lt;/div&gt;&lt;/div&gt;&lt;/div&gt;&lt;/a&gt;&lt;/div&gt;&lt;script&gt;var jsA54 = document.getElementById('A54').innerHTML;&lt;/script&gt;</v>
      </c>
      <c r="Y1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Planner - https://tasks.osi.apps.mil/armyeitaas.onmicrosoft.us/en-US/Home/Planner/ --&gt;
      &lt;summary&gt;• &lt;a href='https://tasks.osi.apps.mil/armyeitaas.onmicrosoft.us/en-US/Home/Planner/' rel='noopener noreferrer'&gt;Army 365 - Planner - https://tasks.osi.apps.mil/armyeitaas.onmicrosoft.us/en-US/Home/Planner/&lt;/a&gt;&lt;/summary&gt;
      &lt;p&gt;Army 365 - Planner, a planning application available on the Microsoft 365 platform. The application is available to premium, business, and educational subscribers to Microsoft 365. Microsoft Planner is a team-work oriented tool that can be used in a variety of ways.&lt;/p&gt;
    &lt;/details&gt;</v>
      </c>
      <c r="Z16" s="1" t="str">
        <f t="shared" si="1"/>
        <v xml:space="preserve">          &lt;!-- Army 365 - Planner - https://tasks.osi.apps.mil/armyeitaas.onmicrosoft.us/en-US/Home/Planner/ --&gt;&lt;div id='dragA54' class='catAll catArmySites catTech'&gt;&lt;div class='column hideMarquee' draggable='true' ondragstart='drag(event)' value='A54' id='A54'&gt;&lt;div class='armyCardContainer ssCard'&gt;&lt;div class='ssArmyCard'&gt;&lt;div&gt;&lt;p class='marquee'&gt;Army 365 - Planner, a planning application available on the Microsoft 365 platform. The application is available to premium, business, and educational subscribers to Microsoft 365. Microsoft Planner is a team-work oriented tool that can be used in a variety of ways.&lt;/p&gt;&lt;img src='assets/Card-156.png' class='ssCardImage' draggable='false' loading='lazy'&gt;&lt;/div&gt;&lt;div class='ssTitle'&gt;&lt;span id='A54Title'&gt;Army 365 - Planner&lt;/span&gt;&lt;/div&gt;&lt;/div&gt;&lt;/div&gt;&lt;/div&gt;&lt;/div&gt;&lt;script&gt;var jsA54 = document.getElementById('dragA54').innerHTML;&lt;/script&gt;</v>
      </c>
      <c r="AA16" s="1" t="str">
        <f>CONCATENATE("var js",Table1[[#This Row],[IDs]]," = document.getElementbyId('drag",Table1[[#This Row],[IDs]],"').innerHTML; //  ",Table1[[#This Row],[Site]])</f>
        <v>var jsA54 = document.getElementbyId('dragA54').innerHTML; //  Army 365 - Planner</v>
      </c>
    </row>
    <row r="17" spans="1:27" ht="15" x14ac:dyDescent="0.25">
      <c r="A17" t="s">
        <v>528</v>
      </c>
      <c r="B17" t="s">
        <v>528</v>
      </c>
      <c r="C17" s="9" t="s">
        <v>1040</v>
      </c>
      <c r="D17" t="s">
        <v>963</v>
      </c>
      <c r="E17" t="s">
        <v>872</v>
      </c>
      <c r="F17" s="2" t="s">
        <v>1003</v>
      </c>
      <c r="G17" s="2" t="s">
        <v>900</v>
      </c>
      <c r="H17" s="2" t="s">
        <v>552</v>
      </c>
      <c r="I17" s="2" t="s">
        <v>18</v>
      </c>
      <c r="J17" s="2"/>
      <c r="K17" s="2"/>
      <c r="L17" s="2"/>
      <c r="M17" s="2"/>
      <c r="N17" s="2"/>
      <c r="O17" s="2"/>
      <c r="P17" s="2"/>
      <c r="Q17" s="2"/>
      <c r="R17" s="2" t="s">
        <v>18</v>
      </c>
      <c r="S17" s="2"/>
      <c r="T17" s="2"/>
      <c r="U17" s="2"/>
      <c r="V17" s="2"/>
      <c r="W17" s="3" t="str">
        <f>CONCATENATE("var js",Table1[[#This Row],[IDs]]," = document.getElementbyId('",Table1[[#This Row],[IDs]],"').innerHTML; //  ",Table1[[#This Row],[Site]])</f>
        <v>var jsA55 = document.getElementbyId('A55').innerHTML; //  Army 365 - PowerPoint</v>
      </c>
      <c r="X17" s="1" t="str">
        <f t="shared" si="0"/>
        <v xml:space="preserve">        &lt;!--Army 365 - PowerPoint - https://www.ohome.apps.mil/launch/powerpoint?domain_hint=army.mil --&gt;&lt;div class='column catAll catArmySites catTech' style='margin-bottom: 0px;' id='A55'&gt;&lt;a href='https://www.ohome.apps.mil/launch/powerpoint?domain_hint=army.mil' rel='noopener noreferrer' class='column hideMarquee'&gt;&lt;div class='armyCardContainer card'&gt;&lt;div class='armyCard'&gt;&lt;div&gt;&lt;p class='marquee'&gt;Army 365 - PowerPoint, a presentation program, created by Robert Gaskins and Dennis Austin at a software company named Forethought, Inc. It was released on April 20, 1987, initially for Macintosh computers only. Microsoft acquired PowerPoint for about $14 million three months after it appeared.&lt;/p&gt;&lt;img src='assets/CaCRequired.png' title='A CAC is required to use some or all features of this site!' Class='cacLocked'&gt;&lt;img src='assets/Card-165.png' class='cardImage' loading='lazy'&gt;&lt;/div&gt;&lt;div class='title'&gt;
          &lt;span&gt;Army 365 - PowerPoint&lt;/span&gt;&lt;/div&gt;&lt;/div&gt;&lt;/div&gt;&lt;/a&gt;&lt;/div&gt;&lt;script&gt;var jsA55 = document.getElementById('A55').innerHTML;&lt;/script&gt;</v>
      </c>
      <c r="Y1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PowerPoint - https://www.ohome.apps.mil/launch/powerpoint?domain_hint=army.mil --&gt;
      &lt;summary&gt;• &lt;a href='https://www.ohome.apps.mil/launch/powerpoint?domain_hint=army.mil' rel='noopener noreferrer'&gt;Army 365 - PowerPoint - https://www.ohome.apps.mil/launch/powerpoint?domain_hint=army.mil&lt;/a&gt;&lt;/summary&gt;
      &lt;p&gt;Army 365 - PowerPoint, a presentation program, created by Robert Gaskins and Dennis Austin at a software company named Forethought, Inc. It was released on April 20, 1987, initially for Macintosh computers only. Microsoft acquired PowerPoint for about $14 million three months after it appeared.&lt;/p&gt;
    &lt;/details&gt;</v>
      </c>
      <c r="Z17" s="1" t="str">
        <f t="shared" si="1"/>
        <v xml:space="preserve">          &lt;!-- Army 365 - PowerPoint - https://www.ohome.apps.mil/launch/powerpoint?domain_hint=army.mil --&gt;&lt;div id='dragA55' class='catAll catArmySites catTech'&gt;&lt;div class='column hideMarquee' draggable='true' ondragstart='drag(event)' value='A55' id='A55'&gt;&lt;div class='armyCardContainer ssCard'&gt;&lt;div class='ssArmyCard'&gt;&lt;div&gt;&lt;p class='marquee'&gt;Army 365 - PowerPoint, a presentation program, created by Robert Gaskins and Dennis Austin at a software company named Forethought, Inc. It was released on April 20, 1987, initially for Macintosh computers only. Microsoft acquired PowerPoint for about $14 million three months after it appeared.&lt;/p&gt;&lt;img src='assets/Card-165.png' class='ssCardImage' draggable='false' loading='lazy'&gt;&lt;/div&gt;&lt;div class='ssTitle'&gt;&lt;span id='A55Title'&gt;Army 365 - PowerPoint&lt;/span&gt;&lt;/div&gt;&lt;/div&gt;&lt;/div&gt;&lt;/div&gt;&lt;/div&gt;&lt;script&gt;var jsA55 = document.getElementById('dragA55').innerHTML;&lt;/script&gt;</v>
      </c>
      <c r="AA17" s="1" t="str">
        <f>CONCATENATE("var js",Table1[[#This Row],[IDs]]," = document.getElementbyId('drag",Table1[[#This Row],[IDs]],"').innerHTML; //  ",Table1[[#This Row],[Site]])</f>
        <v>var jsA55 = document.getElementbyId('dragA55').innerHTML; //  Army 365 - PowerPoint</v>
      </c>
    </row>
    <row r="18" spans="1:27" ht="15" x14ac:dyDescent="0.25">
      <c r="A18" t="s">
        <v>483</v>
      </c>
      <c r="B18" t="s">
        <v>483</v>
      </c>
      <c r="C18" s="10" t="s">
        <v>1035</v>
      </c>
      <c r="D18" t="s">
        <v>568</v>
      </c>
      <c r="E18" t="s">
        <v>564</v>
      </c>
      <c r="F18" s="2" t="s">
        <v>27</v>
      </c>
      <c r="G18" s="2" t="s">
        <v>900</v>
      </c>
      <c r="H18" s="2" t="s">
        <v>552</v>
      </c>
      <c r="I18" s="2" t="s">
        <v>18</v>
      </c>
      <c r="J18" s="2"/>
      <c r="K18" s="2"/>
      <c r="L18" s="2"/>
      <c r="M18" s="2"/>
      <c r="N18" s="2"/>
      <c r="O18" s="2"/>
      <c r="P18" s="2"/>
      <c r="Q18" s="2"/>
      <c r="R18" s="2" t="s">
        <v>18</v>
      </c>
      <c r="S18" s="2"/>
      <c r="T18" s="2"/>
      <c r="U18" s="2"/>
      <c r="V18" s="2"/>
      <c r="W18" s="3" t="str">
        <f>CONCATENATE("var js",Table1[[#This Row],[IDs]]," = document.getElementbyId('",Table1[[#This Row],[IDs]],"').innerHTML; //  ",Table1[[#This Row],[Site]])</f>
        <v>var jsA04 = document.getElementbyId('A04').innerHTML; //  Army 365 - Teams</v>
      </c>
      <c r="X18" s="1" t="str">
        <f t="shared" si="0"/>
        <v xml:space="preserve">        &lt;!--Army 365 - Teams - https://teams.microsoft.com/?domain_hint=army.mil --&gt;&lt;div class='column catAll catArmySites catTech' style='margin-bottom: 0px;' id='A04'&gt;&lt;a href='https://teams.microsoft.com/?domain_hint=army.mil' rel='noopener noreferrer' class='column hideMarquee'&gt;&lt;div class='armyCardContainer card'&gt;&lt;div class='armyCard'&gt;&lt;div&gt;&lt;p class='marquee'&gt;Army 365, which leverages Microsoft 365 capabilities, provides the Army with an enduring capability to collaborate across the force. The system hosts a range of resources to include video and voice teleconferencing, email, instant messaging, and access to shared drives.&lt;/p&gt;&lt;img src='assets/CaCRequired.png' title='A CAC is required to use some or all features of this site!' Class='cacLocked'&gt;&lt;img src='assets/Card-137.png' class='cardImage' loading='lazy'&gt;&lt;/div&gt;&lt;div class='title'&gt;
          &lt;span&gt;Army 365 - Teams&lt;/span&gt;&lt;/div&gt;&lt;/div&gt;&lt;/div&gt;&lt;/a&gt;&lt;/div&gt;&lt;script&gt;var jsA04 = document.getElementById('A04').innerHTML;&lt;/script&gt;</v>
      </c>
      <c r="Y1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Teams - https://teams.microsoft.com/?domain_hint=army.mil --&gt;
      &lt;summary&gt;• &lt;a href='https://teams.microsoft.com/?domain_hint=army.mil' rel='noopener noreferrer'&gt;Army 365 - Teams - https://teams.microsoft.com/?domain_hint=army.mil&lt;/a&gt;&lt;/summary&gt;
      &lt;p&gt;Army 365, which leverages Microsoft 365 capabilities, provides the Army with an enduring capability to collaborate across the force. The system hosts a range of resources to include video and voice teleconferencing, email, instant messaging, and access to shared drives.&lt;/p&gt;
    &lt;/details&gt;</v>
      </c>
      <c r="Z18" s="1" t="str">
        <f t="shared" si="1"/>
        <v xml:space="preserve">          &lt;!-- Army 365 - Teams - https://teams.microsoft.com/?domain_hint=army.mil --&gt;&lt;div id='dragA04' class='catAll catArmySites catTech'&gt;&lt;div class='column hideMarquee' draggable='true' ondragstart='drag(event)' value='A04' id='A04'&gt;&lt;div class='armyCardContainer ssCard'&gt;&lt;div class='ssArmyCard'&gt;&lt;div&gt;&lt;p class='marquee'&gt;Army 365, which leverages Microsoft 365 capabilities, provides the Army with an enduring capability to collaborate across the force. The system hosts a range of resources to include video and voice teleconferencing, email, instant messaging, and access to shared drives.&lt;/p&gt;&lt;img src='assets/Card-137.png' class='ssCardImage' draggable='false' loading='lazy'&gt;&lt;/div&gt;&lt;div class='ssTitle'&gt;&lt;span id='A04Title'&gt;Army 365 - Teams&lt;/span&gt;&lt;/div&gt;&lt;/div&gt;&lt;/div&gt;&lt;/div&gt;&lt;/div&gt;&lt;script&gt;var jsA04 = document.getElementById('dragA04').innerHTML;&lt;/script&gt;</v>
      </c>
      <c r="AA18" s="1" t="str">
        <f>CONCATENATE("var js",Table1[[#This Row],[IDs]]," = document.getElementbyId('drag",Table1[[#This Row],[IDs]],"').innerHTML; //  ",Table1[[#This Row],[Site]])</f>
        <v>var jsA04 = document.getElementbyId('dragA04').innerHTML; //  Army 365 - Teams</v>
      </c>
    </row>
    <row r="19" spans="1:27" ht="15" x14ac:dyDescent="0.25">
      <c r="A19" t="s">
        <v>527</v>
      </c>
      <c r="B19" t="s">
        <v>527</v>
      </c>
      <c r="C19" s="9" t="s">
        <v>1041</v>
      </c>
      <c r="D19" t="s">
        <v>962</v>
      </c>
      <c r="E19" t="s">
        <v>874</v>
      </c>
      <c r="F19" s="2" t="s">
        <v>1004</v>
      </c>
      <c r="G19" s="2" t="s">
        <v>900</v>
      </c>
      <c r="H19" s="2" t="s">
        <v>552</v>
      </c>
      <c r="I19" s="2" t="s">
        <v>18</v>
      </c>
      <c r="J19" s="2"/>
      <c r="K19" s="2"/>
      <c r="L19" s="2"/>
      <c r="M19" s="2"/>
      <c r="N19" s="2"/>
      <c r="O19" s="2"/>
      <c r="P19" s="2"/>
      <c r="Q19" s="2"/>
      <c r="R19" s="2" t="s">
        <v>18</v>
      </c>
      <c r="S19" s="2"/>
      <c r="T19" s="2"/>
      <c r="U19" s="2"/>
      <c r="V19" s="2"/>
      <c r="W19" s="3" t="str">
        <f>CONCATENATE("var js",Table1[[#This Row],[IDs]]," = document.getElementbyId('",Table1[[#This Row],[IDs]],"').innerHTML; //  ",Table1[[#This Row],[Site]])</f>
        <v>var jsA56 = document.getElementbyId('A56').innerHTML; //  Army 365 - Word</v>
      </c>
      <c r="X19" s="1" t="str">
        <f t="shared" si="0"/>
        <v xml:space="preserve">        &lt;!--Army 365 - Word - https://www.ohome.apps.mil/launch/word?domain_hint=army.mil --&gt;&lt;div class='column catAll catArmySites catTech' style='margin-bottom: 0px;' id='A56'&gt;&lt;a href='https://www.ohome.apps.mil/launch/word?domain_hint=army.mil' rel='noopener noreferrer' class='column hideMarquee'&gt;&lt;div class='armyCardContainer card'&gt;&lt;div class='armyCard'&gt;&lt;div&gt;&lt;p class='marquee'&gt;Army 365 - Word, a word processing software developed by Microsoft. It was first released on October 25, 1983, under the name Multi-Tool Word for Xenix systems.&lt;/p&gt;&lt;img src='assets/CaCRequired.png' title='A CAC is required to use some or all features of this site!' Class='cacLocked'&gt;&lt;img src='assets/Card-166.png' class='cardImage' loading='lazy'&gt;&lt;/div&gt;&lt;div class='title'&gt;
          &lt;span&gt;Army 365 - Word&lt;/span&gt;&lt;/div&gt;&lt;/div&gt;&lt;/div&gt;&lt;/a&gt;&lt;/div&gt;&lt;script&gt;var jsA56 = document.getElementById('A56').innerHTML;&lt;/script&gt;</v>
      </c>
      <c r="Y1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365 - Word - https://www.ohome.apps.mil/launch/word?domain_hint=army.mil --&gt;
      &lt;summary&gt;• &lt;a href='https://www.ohome.apps.mil/launch/word?domain_hint=army.mil' rel='noopener noreferrer'&gt;Army 365 - Word - https://www.ohome.apps.mil/launch/word?domain_hint=army.mil&lt;/a&gt;&lt;/summary&gt;
      &lt;p&gt;Army 365 - Word, a word processing software developed by Microsoft. It was first released on October 25, 1983, under the name Multi-Tool Word for Xenix systems.&lt;/p&gt;
    &lt;/details&gt;</v>
      </c>
      <c r="Z19" s="1" t="str">
        <f t="shared" si="1"/>
        <v xml:space="preserve">          &lt;!-- Army 365 - Word - https://www.ohome.apps.mil/launch/word?domain_hint=army.mil --&gt;&lt;div id='dragA56' class='catAll catArmySites catTech'&gt;&lt;div class='column hideMarquee' draggable='true' ondragstart='drag(event)' value='A56' id='A56'&gt;&lt;div class='armyCardContainer ssCard'&gt;&lt;div class='ssArmyCard'&gt;&lt;div&gt;&lt;p class='marquee'&gt;Army 365 - Word, a word processing software developed by Microsoft. It was first released on October 25, 1983, under the name Multi-Tool Word for Xenix systems.&lt;/p&gt;&lt;img src='assets/Card-166.png' class='ssCardImage' draggable='false' loading='lazy'&gt;&lt;/div&gt;&lt;div class='ssTitle'&gt;&lt;span id='A56Title'&gt;Army 365 - Word&lt;/span&gt;&lt;/div&gt;&lt;/div&gt;&lt;/div&gt;&lt;/div&gt;&lt;/div&gt;&lt;script&gt;var jsA56 = document.getElementById('dragA56').innerHTML;&lt;/script&gt;</v>
      </c>
      <c r="AA19" s="1" t="str">
        <f>CONCATENATE("var js",Table1[[#This Row],[IDs]]," = document.getElementbyId('drag",Table1[[#This Row],[IDs]],"').innerHTML; //  ",Table1[[#This Row],[Site]])</f>
        <v>var jsA56 = document.getElementbyId('dragA56').innerHTML; //  Army 365 - Word</v>
      </c>
    </row>
    <row r="20" spans="1:27" ht="15" x14ac:dyDescent="0.25">
      <c r="A20" t="s">
        <v>28</v>
      </c>
      <c r="B20" t="s">
        <v>28</v>
      </c>
      <c r="C20" s="2" t="s">
        <v>29</v>
      </c>
      <c r="D20" t="s">
        <v>570</v>
      </c>
      <c r="E20" t="s">
        <v>569</v>
      </c>
      <c r="F20" s="2" t="s">
        <v>30</v>
      </c>
      <c r="G20" s="2" t="s">
        <v>900</v>
      </c>
      <c r="H20" s="2" t="s">
        <v>552</v>
      </c>
      <c r="I20" s="2"/>
      <c r="J20" s="2" t="s">
        <v>18</v>
      </c>
      <c r="K20" s="2"/>
      <c r="L20" s="2"/>
      <c r="M20" s="2"/>
      <c r="N20" s="2"/>
      <c r="O20" s="2"/>
      <c r="P20" s="2"/>
      <c r="Q20" s="2"/>
      <c r="R20" s="2"/>
      <c r="S20" s="2"/>
      <c r="T20" s="2"/>
      <c r="U20" s="2"/>
      <c r="V20" s="2"/>
      <c r="W20" s="3" t="str">
        <f>CONCATENATE("var js",Table1[[#This Row],[IDs]]," = document.getElementbyId('",Table1[[#This Row],[IDs]],"').innerHTML; //  ",Table1[[#This Row],[Site]])</f>
        <v>var jsA05 = document.getElementbyId('A05').innerHTML; //  Army Accident Reporting System</v>
      </c>
      <c r="X20" s="1" t="str">
        <f t="shared" si="0"/>
        <v xml:space="preserve">        &lt;!--Army Accident Reporting System - https://reportit.safety.army.mil/ --&gt;&lt;div class='column catAll catCombatReadiness' style='margin-bottom: 0px;' id='A05'&gt;&lt;a href='https://reportit.safety.army.mil/' rel='noopener noreferrer' class='column hideMarquee'&gt;&lt;div class='armyCardContainer card'&gt;&lt;div class='armyCard'&gt;&lt;div&gt;&lt;p class='marquee'&gt;ReportIt is the centralized mechanism for collecting injury, illness and loss reports to help the Army meet its applicable regulatory requirements and effectively manage its safety and occupational health program. Army Safety Management Information System Revised (ASMIS‐R), is necessary to reduce accidental loss. This automated incident reporting system will meet the functional needs of both command organizations and users. It will also improve regulatory compliance by offering a single, standard, and efficient process for reporting incidents.&lt;/p&gt;&lt;img src='assets/CaCRequired.png' title='A CAC is required to use some or all features of this site!' Class='cacLocked'&gt;&lt;img src='assets/Card-033.png'' class='cardImage' loading='lazy'&gt;&lt;/div&gt;&lt;div class='title'&gt;
          &lt;span&gt;Army Accident Reporting System&lt;/span&gt;&lt;/div&gt;&lt;/div&gt;&lt;/div&gt;&lt;/a&gt;&lt;/div&gt;&lt;script&gt;var jsA05 = document.getElementById('A05').innerHTML;&lt;/script&gt;</v>
      </c>
      <c r="Y2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Accident Reporting System - https://reportit.safety.army.mil/ --&gt;
      &lt;summary&gt;• &lt;a href='https://reportit.safety.army.mil/' rel='noopener noreferrer'&gt;Army Accident Reporting System - https://reportit.safety.army.mil/&lt;/a&gt;&lt;/summary&gt;
      &lt;p&gt;ReportIt is the centralized mechanism for collecting injury, illness and loss reports to help the Army meet its applicable regulatory requirements and effectively manage its safety and occupational health program. Army Safety Management Information System Revised (ASMIS‐R), is necessary to reduce accidental loss. This automated incident reporting system will meet the functional needs of both command organizations and users. It will also improve regulatory compliance by offering a single, standard, and efficient process for reporting incidents.&lt;/p&gt;
    &lt;/details&gt;</v>
      </c>
      <c r="Z20" s="1" t="str">
        <f t="shared" si="1"/>
        <v xml:space="preserve">          &lt;!-- Army Accident Reporting System - https://reportit.safety.army.mil/ --&gt;&lt;div id='dragA05' class='catAll catCombatReadiness'&gt;&lt;div class='column hideMarquee' draggable='true' ondragstart='drag(event)' value='A05' id='A05'&gt;&lt;div class='armyCardContainer ssCard'&gt;&lt;div class='ssArmyCard'&gt;&lt;div&gt;&lt;p class='marquee'&gt;ReportIt is the centralized mechanism for collecting injury, illness and loss reports to help the Army meet its applicable regulatory requirements and effectively manage its safety and occupational health program. Army Safety Management Information System Revised (ASMIS‐R), is necessary to reduce accidental loss. This automated incident reporting system will meet the functional needs of both command organizations and users. It will also improve regulatory compliance by offering a single, standard, and efficient process for reporting incidents.&lt;/p&gt;&lt;img src='assets/Card-033.png'' class='ssCardImage' draggable='false' loading='lazy'&gt;&lt;/div&gt;&lt;div class='ssTitle'&gt;&lt;span id='A05Title'&gt;Army Accident Reporting System&lt;/span&gt;&lt;/div&gt;&lt;/div&gt;&lt;/div&gt;&lt;/div&gt;&lt;/div&gt;&lt;script&gt;var jsA05 = document.getElementById('dragA05').innerHTML;&lt;/script&gt;</v>
      </c>
      <c r="AA20" s="1" t="str">
        <f>CONCATENATE("var js",Table1[[#This Row],[IDs]]," = document.getElementbyId('drag",Table1[[#This Row],[IDs]],"').innerHTML; //  ",Table1[[#This Row],[Site]])</f>
        <v>var jsA05 = document.getElementbyId('dragA05').innerHTML; //  Army Accident Reporting System</v>
      </c>
    </row>
    <row r="21" spans="1:27" ht="15" x14ac:dyDescent="0.25">
      <c r="A21" t="s">
        <v>364</v>
      </c>
      <c r="B21" t="s">
        <v>364</v>
      </c>
      <c r="C21" s="5" t="s">
        <v>365</v>
      </c>
      <c r="D21" t="s">
        <v>572</v>
      </c>
      <c r="E21" t="s">
        <v>571</v>
      </c>
      <c r="F21" s="2" t="s">
        <v>33</v>
      </c>
      <c r="G21" s="2" t="s">
        <v>900</v>
      </c>
      <c r="H21" s="2" t="s">
        <v>900</v>
      </c>
      <c r="I21" s="2" t="s">
        <v>18</v>
      </c>
      <c r="J21" s="2"/>
      <c r="K21" s="2"/>
      <c r="L21" s="2"/>
      <c r="M21" s="2"/>
      <c r="N21" s="2"/>
      <c r="O21" s="2"/>
      <c r="P21" s="2"/>
      <c r="Q21" s="2"/>
      <c r="R21" s="2"/>
      <c r="S21" s="2"/>
      <c r="T21" s="2"/>
      <c r="U21" s="2"/>
      <c r="V21" s="2"/>
      <c r="W21" s="3" t="str">
        <f>CONCATENATE("var js",Table1[[#This Row],[IDs]]," = document.getElementbyId('",Table1[[#This Row],[IDs]],"').innerHTML; //  ",Table1[[#This Row],[Site]])</f>
        <v>var jsA06 = document.getElementbyId('A06').innerHTML; //  Army Acquisition Support Center</v>
      </c>
      <c r="X21" s="1" t="str">
        <f t="shared" si="0"/>
        <v xml:space="preserve">        &lt;!--Army Acquisition Support Center - https://asc.army.mil/web/ --&gt;&lt;div class='column catAll catArmySites' style='margin-bottom: 0px;' id='A06'&gt;&lt;a href='https://asc.army.mil/web/' rel='noopener noreferrer' class='column hideMarquee'&gt;&lt;div class='armyCardContainer card'&gt;&lt;div class='armyCard'&gt;&lt;div&gt;&lt;p class='marquee'&gt;The U.S. Army Acquisition Support Center (USAASC) is a Direct Reporting Unit of the Assistant Secretary of the Army for Acquisition, Logistics, and Technology responsible for providing oversight of the Army Acquisition Corps (AAC) and the 40,000-strong Army Acquisition Workforce. USAASC supports the program executive offices in the areas of human resources, resource management (manpower and budget), program structure, and acquisition information management.&lt;/p&gt;&lt;img src='assets/Card-121.png' class='cardImage' loading='lazy'&gt;&lt;/div&gt;&lt;div class='title'&gt;
          &lt;span&gt;Army Acquisition Support Center&lt;/span&gt;&lt;/div&gt;&lt;/div&gt;&lt;/div&gt;&lt;/a&gt;&lt;/div&gt;&lt;script&gt;var jsA06 = document.getElementById('A06').innerHTML;&lt;/script&gt;</v>
      </c>
      <c r="Y2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Acquisition Support Center - https://asc.army.mil/web/ --&gt;
      &lt;summary&gt;• &lt;a href='https://asc.army.mil/web/' rel='noopener noreferrer'&gt;Army Acquisition Support Center - https://asc.army.mil/web/&lt;/a&gt;&lt;/summary&gt;
      &lt;p&gt;The U.S. Army Acquisition Support Center (USAASC) is a Direct Reporting Unit of the Assistant Secretary of the Army for Acquisition, Logistics, and Technology responsible for providing oversight of the Army Acquisition Corps (AAC) and the 40,000-strong Army Acquisition Workforce. USAASC supports the program executive offices in the areas of human resources, resource management (manpower and budget), program structure, and acquisition information management.&lt;/p&gt;
    &lt;/details&gt;</v>
      </c>
      <c r="Z21" s="1" t="str">
        <f t="shared" si="1"/>
        <v xml:space="preserve">          &lt;!-- Army Acquisition Support Center - https://asc.army.mil/web/ --&gt;&lt;div id='dragA06' class='catAll catArmySites'&gt;&lt;div class='column hideMarquee' draggable='true' ondragstart='drag(event)' value='A06' id='A06'&gt;&lt;div class='armyCardContainer ssCard'&gt;&lt;div class='ssArmyCard'&gt;&lt;div&gt;&lt;p class='marquee'&gt;The U.S. Army Acquisition Support Center (USAASC) is a Direct Reporting Unit of the Assistant Secretary of the Army for Acquisition, Logistics, and Technology responsible for providing oversight of the Army Acquisition Corps (AAC) and the 40,000-strong Army Acquisition Workforce. USAASC supports the program executive offices in the areas of human resources, resource management (manpower and budget), program structure, and acquisition information management.&lt;/p&gt;&lt;img src='assets/Card-121.png' class='ssCardImage' draggable='false' loading='lazy'&gt;&lt;/div&gt;&lt;div class='ssTitle'&gt;&lt;span id='A06Title'&gt;Army Acquisition Support Center&lt;/span&gt;&lt;/div&gt;&lt;/div&gt;&lt;/div&gt;&lt;/div&gt;&lt;/div&gt;&lt;script&gt;var jsA06 = document.getElementById('dragA06').innerHTML;&lt;/script&gt;</v>
      </c>
      <c r="AA21" s="1" t="str">
        <f>CONCATENATE("var js",Table1[[#This Row],[IDs]]," = document.getElementbyId('drag",Table1[[#This Row],[IDs]],"').innerHTML; //  ",Table1[[#This Row],[Site]])</f>
        <v>var jsA06 = document.getElementbyId('dragA06').innerHTML; //  Army Acquisition Support Center</v>
      </c>
    </row>
    <row r="22" spans="1:27" ht="15" x14ac:dyDescent="0.25">
      <c r="A22" t="s">
        <v>31</v>
      </c>
      <c r="B22" t="s">
        <v>31</v>
      </c>
      <c r="C22" s="10" t="s">
        <v>32</v>
      </c>
      <c r="D22" t="s">
        <v>574</v>
      </c>
      <c r="E22" t="s">
        <v>573</v>
      </c>
      <c r="F22" s="2" t="s">
        <v>36</v>
      </c>
      <c r="G22" s="2" t="s">
        <v>552</v>
      </c>
      <c r="H22" s="2" t="s">
        <v>900</v>
      </c>
      <c r="I22" s="2" t="s">
        <v>18</v>
      </c>
      <c r="J22" s="2"/>
      <c r="K22" s="2"/>
      <c r="L22" s="2"/>
      <c r="M22" s="2"/>
      <c r="N22" s="2"/>
      <c r="O22" s="2"/>
      <c r="P22" s="2"/>
      <c r="Q22" s="2"/>
      <c r="R22" s="2"/>
      <c r="S22" s="2"/>
      <c r="T22" s="2"/>
      <c r="U22" s="2"/>
      <c r="V22" s="2"/>
      <c r="W22" s="3" t="str">
        <f>CONCATENATE("var js",Table1[[#This Row],[IDs]]," = document.getElementbyId('",Table1[[#This Row],[IDs]],"').innerHTML; //  ",Table1[[#This Row],[Site]])</f>
        <v>var jsA07 = document.getElementbyId('A07').innerHTML; //  Army Benefits Center</v>
      </c>
      <c r="X22" s="1" t="str">
        <f t="shared" si="0"/>
        <v xml:space="preserve">        &lt;!--Army Benefits Center - https://wr.acpol.army.mil/abc/ --&gt;&lt;div class='column catAll catArmySites' style='margin-bottom: 0px;' id='A07'&gt;&lt;a href='https://wr.acpol.army.mil/abc/' rel='noopener noreferrer' class='column hideMarquee'&gt;&lt;div class='armyCardContainer card'&gt;&lt;div class='armyCard'&gt;&lt;div&gt;&lt;p class='marquee'&gt;Army Benefits Center provides advisory services and process transactions for:&lt;br&gt; - Federal Employees’ Health Benefits (FEHB)&lt;br&gt; - Federal Employees’ Group Life Insurance (FEGLI)&lt;br&gt; - Thrift Savings Plan (TSP)&lt;br&gt; - Retirement (FERS &amp; CSRS)&lt;br&gt; - Survivorship (Death Claim Processing)&lt;/p&gt;&lt;img src='assets/DODlock.png' title='This Site requires a DoD network connection to be used!' Class='dodLocked'&gt;&lt;img src='assets/Card-048.png' class='cardImage' loading='lazy'&gt;&lt;/div&gt;&lt;div class='title'&gt;
          &lt;span&gt;Army Benefits Center&lt;/span&gt;&lt;/div&gt;&lt;/div&gt;&lt;/div&gt;&lt;/a&gt;&lt;/div&gt;&lt;script&gt;var jsA07 = document.getElementById('A07').innerHTML;&lt;/script&gt;</v>
      </c>
      <c r="Y2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Benefits Center - https://wr.acpol.army.mil/abc/ --&gt;
      &lt;summary&gt;• &lt;a href='https://wr.acpol.army.mil/abc/' rel='noopener noreferrer'&gt;Army Benefits Center - https://wr.acpol.army.mil/abc/&lt;/a&gt;&lt;/summary&gt;
      &lt;p&gt;Army Benefits Center provides advisory services and process transactions for:&lt;br&gt; - Federal Employees’ Health Benefits (FEHB)&lt;br&gt; - Federal Employees’ Group Life Insurance (FEGLI)&lt;br&gt; - Thrift Savings Plan (TSP)&lt;br&gt; - Retirement (FERS &amp; CSRS)&lt;br&gt; - Survivorship (Death Claim Processing)&lt;/p&gt;
    &lt;/details&gt;</v>
      </c>
      <c r="Z22" s="1" t="str">
        <f t="shared" si="1"/>
        <v xml:space="preserve">          &lt;!-- Army Benefits Center - https://wr.acpol.army.mil/abc/ --&gt;&lt;div id='dragA07' class='catAll catArmySites'&gt;&lt;div class='column hideMarquee' draggable='true' ondragstart='drag(event)' value='A07' id='A07'&gt;&lt;div class='armyCardContainer ssCard'&gt;&lt;div class='ssArmyCard'&gt;&lt;div&gt;&lt;p class='marquee'&gt;Army Benefits Center provides advisory services and process transactions for:&lt;br&gt; - Federal Employees’ Health Benefits (FEHB)&lt;br&gt; - Federal Employees’ Group Life Insurance (FEGLI)&lt;br&gt; - Thrift Savings Plan (TSP)&lt;br&gt; - Retirement (FERS &amp; CSRS)&lt;br&gt; - Survivorship (Death Claim Processing)&lt;/p&gt;&lt;img src='assets/Card-048.png' class='ssCardImage' draggable='false' loading='lazy'&gt;&lt;/div&gt;&lt;div class='ssTitle'&gt;&lt;span id='A07Title'&gt;Army Benefits Center&lt;/span&gt;&lt;/div&gt;&lt;/div&gt;&lt;/div&gt;&lt;/div&gt;&lt;/div&gt;&lt;script&gt;var jsA07 = document.getElementById('dragA07').innerHTML;&lt;/script&gt;</v>
      </c>
      <c r="AA22" s="1" t="str">
        <f>CONCATENATE("var js",Table1[[#This Row],[IDs]]," = document.getElementbyId('drag",Table1[[#This Row],[IDs]],"').innerHTML; //  ",Table1[[#This Row],[Site]])</f>
        <v>var jsA07 = document.getElementbyId('dragA07').innerHTML; //  Army Benefits Center</v>
      </c>
    </row>
    <row r="23" spans="1:27" ht="15" x14ac:dyDescent="0.25">
      <c r="A23" t="s">
        <v>34</v>
      </c>
      <c r="B23" t="s">
        <v>34</v>
      </c>
      <c r="C23" s="2" t="s">
        <v>35</v>
      </c>
      <c r="D23" t="s">
        <v>576</v>
      </c>
      <c r="E23" t="s">
        <v>575</v>
      </c>
      <c r="F23" s="2" t="s">
        <v>39</v>
      </c>
      <c r="G23" s="2" t="s">
        <v>900</v>
      </c>
      <c r="H23" s="2" t="s">
        <v>552</v>
      </c>
      <c r="I23" s="2"/>
      <c r="J23" s="2"/>
      <c r="K23" s="2"/>
      <c r="L23" s="2"/>
      <c r="M23" s="2"/>
      <c r="N23" s="2"/>
      <c r="O23" s="2"/>
      <c r="P23" s="2"/>
      <c r="Q23" s="2" t="s">
        <v>18</v>
      </c>
      <c r="R23" s="2"/>
      <c r="S23" s="2"/>
      <c r="T23" s="2"/>
      <c r="U23" s="2"/>
      <c r="V23" s="2"/>
      <c r="W23" s="3" t="str">
        <f>CONCATENATE("var js",Table1[[#This Row],[IDs]]," = document.getElementbyId('",Table1[[#This Row],[IDs]],"').innerHTML; //  ",Table1[[#This Row],[Site]])</f>
        <v>var jsA08 = document.getElementbyId('A08').innerHTML; //  Army Career Tracker</v>
      </c>
      <c r="X23" s="1" t="str">
        <f t="shared" si="0"/>
        <v xml:space="preserve">        &lt;!--Army Career Tracker - https://actnow.army.mil/ --&gt;&lt;div class='column catAll catProDev' style='margin-bottom: 0px;' id='A08'&gt;&lt;a href='https://actnow.army.mil/' rel='noopener noreferrer' class='column hideMarquee'&gt;&lt;div class='armyCardContainer card'&gt;&lt;div class='armyCard'&gt;&lt;div&gt;&lt;p class='marquee'&gt;The Army Career Tracker is an Army leadership development web-based tool developed by U.S. Army Training and Doctrine Command's Institute for Non-Commissioned Officer Professional Development.&lt;/p&gt;&lt;img src='assets/CaCRequired.png' title='A CAC is required to use some or all features of this site!' Class='cacLocked'&gt;&lt;img src='assets/Card-067.jpg' class='cardImage' loading='lazy'&gt;&lt;/div&gt;&lt;div class='title'&gt;
          &lt;span&gt;Army Career Tracker&lt;/span&gt;&lt;/div&gt;&lt;/div&gt;&lt;/div&gt;&lt;/a&gt;&lt;/div&gt;&lt;script&gt;var jsA08 = document.getElementById('A08').innerHTML;&lt;/script&gt;</v>
      </c>
      <c r="Y2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Career Tracker - https://actnow.army.mil/ --&gt;
      &lt;summary&gt;• &lt;a href='https://actnow.army.mil/' rel='noopener noreferrer'&gt;Army Career Tracker - https://actnow.army.mil/&lt;/a&gt;&lt;/summary&gt;
      &lt;p&gt;The Army Career Tracker is an Army leadership development web-based tool developed by U.S. Army Training and Doctrine Command's Institute for Non-Commissioned Officer Professional Development.&lt;/p&gt;
    &lt;/details&gt;</v>
      </c>
      <c r="Z23" s="1" t="str">
        <f t="shared" si="1"/>
        <v xml:space="preserve">          &lt;!-- Army Career Tracker - https://actnow.army.mil/ --&gt;&lt;div id='dragA08' class='catAll catProDev'&gt;&lt;div class='column hideMarquee' draggable='true' ondragstart='drag(event)' value='A08' id='A08'&gt;&lt;div class='armyCardContainer ssCard'&gt;&lt;div class='ssArmyCard'&gt;&lt;div&gt;&lt;p class='marquee'&gt;The Army Career Tracker is an Army leadership development web-based tool developed by U.S. Army Training and Doctrine Command's Institute for Non-Commissioned Officer Professional Development.&lt;/p&gt;&lt;img src='assets/Card-067.jpg' class='ssCardImage' draggable='false' loading='lazy'&gt;&lt;/div&gt;&lt;div class='ssTitle'&gt;&lt;span id='A08Title'&gt;Army Career Tracker&lt;/span&gt;&lt;/div&gt;&lt;/div&gt;&lt;/div&gt;&lt;/div&gt;&lt;/div&gt;&lt;script&gt;var jsA08 = document.getElementById('dragA08').innerHTML;&lt;/script&gt;</v>
      </c>
      <c r="AA23" s="1" t="str">
        <f>CONCATENATE("var js",Table1[[#This Row],[IDs]]," = document.getElementbyId('drag",Table1[[#This Row],[IDs]],"').innerHTML; //  ",Table1[[#This Row],[Site]])</f>
        <v>var jsA08 = document.getElementbyId('dragA08').innerHTML; //  Army Career Tracker</v>
      </c>
    </row>
    <row r="24" spans="1:27" ht="15" x14ac:dyDescent="0.25">
      <c r="A24" t="s">
        <v>37</v>
      </c>
      <c r="B24" t="s">
        <v>37</v>
      </c>
      <c r="C24" s="2" t="s">
        <v>38</v>
      </c>
      <c r="D24" t="s">
        <v>578</v>
      </c>
      <c r="E24" t="s">
        <v>577</v>
      </c>
      <c r="F24" s="2" t="s">
        <v>41</v>
      </c>
      <c r="G24" s="2" t="s">
        <v>900</v>
      </c>
      <c r="H24" s="2" t="s">
        <v>552</v>
      </c>
      <c r="I24" s="2"/>
      <c r="J24" s="2" t="s">
        <v>18</v>
      </c>
      <c r="K24" s="2"/>
      <c r="L24" s="2"/>
      <c r="M24" s="2"/>
      <c r="N24" s="2"/>
      <c r="O24" s="2"/>
      <c r="P24" s="2"/>
      <c r="Q24" s="2"/>
      <c r="R24" s="2"/>
      <c r="S24" s="2"/>
      <c r="T24" s="2"/>
      <c r="U24" s="2"/>
      <c r="V24" s="2"/>
      <c r="W24" s="3" t="str">
        <f>CONCATENATE("var js",Table1[[#This Row],[IDs]]," = document.getElementbyId('",Table1[[#This Row],[IDs]],"').innerHTML; //  ",Table1[[#This Row],[Site]])</f>
        <v>var jsA09 = document.getElementbyId('A09').innerHTML; //  Army Combat Readiness Center</v>
      </c>
      <c r="X24" s="1" t="str">
        <f t="shared" si="0"/>
        <v xml:space="preserve">        &lt;!--Army Combat Readiness Center - https://safety.army.mil/ --&gt;&lt;div class='column catAll catCombatReadiness' style='margin-bottom: 0px;' id='A09'&gt;&lt;a href='https://safety.army.mil/' rel='noopener noreferrer' class='column hideMarquee'&gt;&lt;div class='armyCardContainer card'&gt;&lt;div class='armyCard'&gt;&lt;div&gt;&lt;p class='marquee'&gt;The U.S. Army Combat Readiness Center preserves Army readiness through analysis, training, and the development of systems that prevent accidental loss of our people and resources.&lt;/p&gt;&lt;img src='assets/CaCRequired.png' title='A CAC is required to use some or all features of this site!' Class='cacLocked'&gt;&lt;img src='assets/Card-030.png' class='cardImage' loading='lazy'&gt;&lt;/div&gt;&lt;div class='title'&gt;
          &lt;span&gt;Army Combat Readiness Center&lt;/span&gt;&lt;/div&gt;&lt;/div&gt;&lt;/div&gt;&lt;/a&gt;&lt;/div&gt;&lt;script&gt;var jsA09 = document.getElementById('A09').innerHTML;&lt;/script&gt;</v>
      </c>
      <c r="Y2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Combat Readiness Center - https://safety.army.mil/ --&gt;
      &lt;summary&gt;• &lt;a href='https://safety.army.mil/' rel='noopener noreferrer'&gt;Army Combat Readiness Center - https://safety.army.mil/&lt;/a&gt;&lt;/summary&gt;
      &lt;p&gt;The U.S. Army Combat Readiness Center preserves Army readiness through analysis, training, and the development of systems that prevent accidental loss of our people and resources.&lt;/p&gt;
    &lt;/details&gt;</v>
      </c>
      <c r="Z24" s="1" t="str">
        <f t="shared" si="1"/>
        <v xml:space="preserve">          &lt;!-- Army Combat Readiness Center - https://safety.army.mil/ --&gt;&lt;div id='dragA09' class='catAll catCombatReadiness'&gt;&lt;div class='column hideMarquee' draggable='true' ondragstart='drag(event)' value='A09' id='A09'&gt;&lt;div class='armyCardContainer ssCard'&gt;&lt;div class='ssArmyCard'&gt;&lt;div&gt;&lt;p class='marquee'&gt;The U.S. Army Combat Readiness Center preserves Army readiness through analysis, training, and the development of systems that prevent accidental loss of our people and resources.&lt;/p&gt;&lt;img src='assets/Card-030.png' class='ssCardImage' draggable='false' loading='lazy'&gt;&lt;/div&gt;&lt;div class='ssTitle'&gt;&lt;span id='A09Title'&gt;Army Combat Readiness Center&lt;/span&gt;&lt;/div&gt;&lt;/div&gt;&lt;/div&gt;&lt;/div&gt;&lt;/div&gt;&lt;script&gt;var jsA09 = document.getElementById('dragA09').innerHTML;&lt;/script&gt;</v>
      </c>
      <c r="AA24" s="1" t="str">
        <f>CONCATENATE("var js",Table1[[#This Row],[IDs]]," = document.getElementbyId('drag",Table1[[#This Row],[IDs]],"').innerHTML; //  ",Table1[[#This Row],[Site]])</f>
        <v>var jsA09 = document.getElementbyId('dragA09').innerHTML; //  Army Combat Readiness Center</v>
      </c>
    </row>
    <row r="25" spans="1:27" ht="15" x14ac:dyDescent="0.25">
      <c r="A25" t="s">
        <v>40</v>
      </c>
      <c r="B25" t="s">
        <v>40</v>
      </c>
      <c r="C25" s="9" t="s">
        <v>497</v>
      </c>
      <c r="D25" t="s">
        <v>580</v>
      </c>
      <c r="E25" t="s">
        <v>579</v>
      </c>
      <c r="F25" s="2" t="s">
        <v>44</v>
      </c>
      <c r="G25" s="2" t="s">
        <v>900</v>
      </c>
      <c r="H25" s="2" t="s">
        <v>552</v>
      </c>
      <c r="I25" s="2"/>
      <c r="J25" s="2"/>
      <c r="K25" s="2"/>
      <c r="L25" s="2" t="s">
        <v>18</v>
      </c>
      <c r="M25" s="2"/>
      <c r="N25" s="2"/>
      <c r="O25" s="2"/>
      <c r="P25" s="2"/>
      <c r="Q25" s="2"/>
      <c r="R25" s="2"/>
      <c r="S25" s="2"/>
      <c r="T25" s="2"/>
      <c r="U25" s="2"/>
      <c r="V25" s="2"/>
      <c r="W25" s="3" t="str">
        <f>CONCATENATE("var js",Table1[[#This Row],[IDs]]," = document.getElementbyId('",Table1[[#This Row],[IDs]],"').innerHTML; //  ",Table1[[#This Row],[Site]])</f>
        <v>var jsA10 = document.getElementbyId('A10').innerHTML; //  Army Community Service Staff System</v>
      </c>
      <c r="X25" s="1" t="str">
        <f t="shared" si="0"/>
        <v xml:space="preserve">        &lt;!--Army Community Service Staff System - https://acsstaff.armyfamilywebportal.com --&gt;&lt;div class='column catAll catFamily' style='margin-bottom: 0px;' id='A10'&gt;&lt;a href='https://acsstaff.armyfamilywebportal.com' rel='noopener noreferrer' class='column hideMarquee'&gt;&lt;div class='armyCardContainer card'&gt;&lt;div class='armyCard'&gt;&lt;div&gt;&lt;p class='marquee'&gt;The Army Community Service (ACS) Staff Application serves as the primary tool for the documentation and tracking of ACS clients, cases, and other services overseen by ACS Staff Members.&lt;/p&gt;&lt;img src='assets/CaCRequired.png' title='A CAC is required to use some or all features of this site!' Class='cacLocked'&gt;&lt;img src='assets/Card-012.png' class='cardImage' loading='lazy'&gt;&lt;/div&gt;&lt;div class='title'&gt;
          &lt;span&gt;Army Community Service Staff System&lt;/span&gt;&lt;/div&gt;&lt;/div&gt;&lt;/div&gt;&lt;/a&gt;&lt;/div&gt;&lt;script&gt;var jsA10 = document.getElementById('A10').innerHTML;&lt;/script&gt;</v>
      </c>
      <c r="Y2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Community Service Staff System - https://acsstaff.armyfamilywebportal.com --&gt;
      &lt;summary&gt;• &lt;a href='https://acsstaff.armyfamilywebportal.com' rel='noopener noreferrer'&gt;Army Community Service Staff System - https://acsstaff.armyfamilywebportal.com&lt;/a&gt;&lt;/summary&gt;
      &lt;p&gt;The Army Community Service (ACS) Staff Application serves as the primary tool for the documentation and tracking of ACS clients, cases, and other services overseen by ACS Staff Members.&lt;/p&gt;
    &lt;/details&gt;</v>
      </c>
      <c r="Z25" s="1" t="str">
        <f t="shared" si="1"/>
        <v xml:space="preserve">          &lt;!-- Army Community Service Staff System - https://acsstaff.armyfamilywebportal.com --&gt;&lt;div id='dragA10' class='catAll catFamily'&gt;&lt;div class='column hideMarquee' draggable='true' ondragstart='drag(event)' value='A10' id='A10'&gt;&lt;div class='armyCardContainer ssCard'&gt;&lt;div class='ssArmyCard'&gt;&lt;div&gt;&lt;p class='marquee'&gt;The Army Community Service (ACS) Staff Application serves as the primary tool for the documentation and tracking of ACS clients, cases, and other services overseen by ACS Staff Members.&lt;/p&gt;&lt;img src='assets/Card-012.png' class='ssCardImage' draggable='false' loading='lazy'&gt;&lt;/div&gt;&lt;div class='ssTitle'&gt;&lt;span id='A10Title'&gt;Army Community Service Staff System&lt;/span&gt;&lt;/div&gt;&lt;/div&gt;&lt;/div&gt;&lt;/div&gt;&lt;/div&gt;&lt;script&gt;var jsA10 = document.getElementById('dragA10').innerHTML;&lt;/script&gt;</v>
      </c>
      <c r="AA25" s="1" t="str">
        <f>CONCATENATE("var js",Table1[[#This Row],[IDs]]," = document.getElementbyId('drag",Table1[[#This Row],[IDs]],"').innerHTML; //  ",Table1[[#This Row],[Site]])</f>
        <v>var jsA10 = document.getElementbyId('dragA10').innerHTML; //  Army Community Service Staff System</v>
      </c>
    </row>
    <row r="26" spans="1:27" ht="15" x14ac:dyDescent="0.25">
      <c r="A26" t="s">
        <v>42</v>
      </c>
      <c r="B26" t="s">
        <v>42</v>
      </c>
      <c r="C26" s="2" t="s">
        <v>43</v>
      </c>
      <c r="D26" t="s">
        <v>582</v>
      </c>
      <c r="E26" t="s">
        <v>581</v>
      </c>
      <c r="F26" s="2" t="s">
        <v>47</v>
      </c>
      <c r="G26" s="2" t="s">
        <v>900</v>
      </c>
      <c r="H26" s="2" t="s">
        <v>900</v>
      </c>
      <c r="I26" s="2"/>
      <c r="J26" s="2"/>
      <c r="K26" s="2"/>
      <c r="L26" s="2"/>
      <c r="M26" s="2"/>
      <c r="N26" s="2"/>
      <c r="O26" s="2"/>
      <c r="P26" s="2"/>
      <c r="Q26" s="2"/>
      <c r="R26" s="2"/>
      <c r="S26" s="2"/>
      <c r="T26" s="2" t="s">
        <v>18</v>
      </c>
      <c r="U26" s="2"/>
      <c r="V26" s="2"/>
      <c r="W26" s="3" t="str">
        <f>CONCATENATE("var js",Table1[[#This Row],[IDs]]," = document.getElementbyId('",Table1[[#This Row],[IDs]],"').innerHTML; //  ",Table1[[#This Row],[Site]])</f>
        <v>var jsA11 = document.getElementbyId('A11').innerHTML; //  Army Credentialing Opportunities On-Line (COOL)</v>
      </c>
      <c r="X26" s="1" t="str">
        <f t="shared" si="0"/>
        <v xml:space="preserve">        &lt;!--Army Credentialing Opportunities On-Line (COOL) - https://www.cool.osd.mil/army/ --&gt;&lt;div class='column catAll catCivEd' style='margin-bottom: 0px;' id='A11'&gt;&lt;a href='https://www.cool.osd.mil/army/' rel='noopener noreferrer' class='column hideMarquee'&gt;&lt;div class='armyCardContainer card'&gt;&lt;div class='armyCard'&gt;&lt;div&gt;&lt;p class='marquee'&gt;The Army COOL contain a variety of service-specific information about certifications and licenses related to military occupations. Use Army COOL to:&lt;br&gt; - get background information about civilian licensure and certification in general and specific information on individual credentials, including eligibility and testing requirements and resources to prepare for an exam.&lt;br&gt; - identify licenses and certifications relevant to individual military occupations.&lt;br&gt; - learn how to fill gaps between military training and experience and civilian credentialing requirements.&lt;br&gt; - learn about resources available to Service members that can help them gain civilian job credentials.&lt;/p&gt;&lt;img src='assets/Card-084.png' class='cardImage' loading='lazy'&gt;&lt;/div&gt;&lt;div class='title'&gt;
          &lt;span&gt;Army Credentialing Opportunities On-Line (COOL)&lt;/span&gt;&lt;/div&gt;&lt;/div&gt;&lt;/div&gt;&lt;/a&gt;&lt;/div&gt;&lt;script&gt;var jsA11 = document.getElementById('A11').innerHTML;&lt;/script&gt;</v>
      </c>
      <c r="Y2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Credentialing Opportunities On-Line (COOL) - https://www.cool.osd.mil/army/ --&gt;
      &lt;summary&gt;• &lt;a href='https://www.cool.osd.mil/army/' rel='noopener noreferrer'&gt;Army Credentialing Opportunities On-Line (COOL) - https://www.cool.osd.mil/army/&lt;/a&gt;&lt;/summary&gt;
      &lt;p&gt;The Army COOL contain a variety of service-specific information about certifications and licenses related to military occupations. Use Army COOL to:&lt;br&gt; - get background information about civilian licensure and certification in general and specific information on individual credentials, including eligibility and testing requirements and resources to prepare for an exam.&lt;br&gt; - identify licenses and certifications relevant to individual military occupations.&lt;br&gt; - learn how to fill gaps between military training and experience and civilian credentialing requirements.&lt;br&gt; - learn about resources available to Service members that can help them gain civilian job credentials.&lt;/p&gt;
    &lt;/details&gt;</v>
      </c>
      <c r="Z26" s="1" t="str">
        <f t="shared" si="1"/>
        <v xml:space="preserve">          &lt;!-- Army Credentialing Opportunities On-Line (COOL) - https://www.cool.osd.mil/army/ --&gt;&lt;div id='dragA11' class='catAll catCivEd'&gt;&lt;div class='column hideMarquee' draggable='true' ondragstart='drag(event)' value='A11' id='A11'&gt;&lt;div class='armyCardContainer ssCard'&gt;&lt;div class='ssArmyCard'&gt;&lt;div&gt;&lt;p class='marquee'&gt;The Army COOL contain a variety of service-specific information about certifications and licenses related to military occupations. Use Army COOL to:&lt;br&gt; - get background information about civilian licensure and certification in general and specific information on individual credentials, including eligibility and testing requirements and resources to prepare for an exam.&lt;br&gt; - identify licenses and certifications relevant to individual military occupations.&lt;br&gt; - learn how to fill gaps between military training and experience and civilian credentialing requirements.&lt;br&gt; - learn about resources available to Service members that can help them gain civilian job credentials.&lt;/p&gt;&lt;img src='assets/Card-084.png' class='ssCardImage' draggable='false' loading='lazy'&gt;&lt;/div&gt;&lt;div class='ssTitle'&gt;&lt;span id='A11Title'&gt;Army Credentialing Opportunities On-Line (COOL)&lt;/span&gt;&lt;/div&gt;&lt;/div&gt;&lt;/div&gt;&lt;/div&gt;&lt;/div&gt;&lt;script&gt;var jsA11 = document.getElementById('dragA11').innerHTML;&lt;/script&gt;</v>
      </c>
      <c r="AA26" s="1" t="str">
        <f>CONCATENATE("var js",Table1[[#This Row],[IDs]]," = document.getElementbyId('drag",Table1[[#This Row],[IDs]],"').innerHTML; //  ",Table1[[#This Row],[Site]])</f>
        <v>var jsA11 = document.getElementbyId('dragA11').innerHTML; //  Army Credentialing Opportunities On-Line (COOL)</v>
      </c>
    </row>
    <row r="27" spans="1:27" ht="15" x14ac:dyDescent="0.25">
      <c r="A27" t="s">
        <v>367</v>
      </c>
      <c r="B27" t="s">
        <v>367</v>
      </c>
      <c r="C27" s="5" t="s">
        <v>366</v>
      </c>
      <c r="D27" t="s">
        <v>584</v>
      </c>
      <c r="E27" t="s">
        <v>583</v>
      </c>
      <c r="F27" s="2" t="s">
        <v>50</v>
      </c>
      <c r="G27" s="2" t="s">
        <v>900</v>
      </c>
      <c r="H27" s="2" t="s">
        <v>900</v>
      </c>
      <c r="I27" s="2"/>
      <c r="J27" s="2"/>
      <c r="K27" s="2"/>
      <c r="L27" s="2"/>
      <c r="M27" s="2"/>
      <c r="N27" s="2"/>
      <c r="O27" s="2"/>
      <c r="P27" s="2" t="s">
        <v>18</v>
      </c>
      <c r="Q27" s="2"/>
      <c r="R27" s="2"/>
      <c r="S27" s="2"/>
      <c r="T27" s="2"/>
      <c r="U27" s="2"/>
      <c r="V27" s="2"/>
      <c r="W27" s="3" t="str">
        <f>CONCATENATE("var js",Table1[[#This Row],[IDs]]," = document.getElementbyId('",Table1[[#This Row],[IDs]],"').innerHTML; //  ",Table1[[#This Row],[Site]])</f>
        <v>var jsA12 = document.getElementbyId('A12').innerHTML; //  Army Criminal Investigation Command</v>
      </c>
      <c r="X27" s="1" t="str">
        <f t="shared" si="0"/>
        <v xml:space="preserve">        &lt;!--Army Criminal Investigation Command - https://www.cid.army.mil/ --&gt;&lt;div class='column catAll catLegal' style='margin-bottom: 0px;' id='A12'&gt;&lt;a href='https://www.cid.army.mil/' rel='noopener noreferrer' class='column hideMarquee'&gt;&lt;div class='armyCardContainer card'&gt;&lt;div class='armyCard'&gt;&lt;div&gt;&lt;p class='marquee'&gt;It is up to the Army Criminal Investigation Command to investigate and deter serious crimes in which the Army has an interest. CID collects, analyzes, processes and disseminates criminal intelligence; conducts protective service operations; provides forensic laboratory support to all DoD investigative agencies, and maintains Army criminal records. CID also provides criminal investigative support to all U.S. Army elements and deploys on short notice in support of contingency operations worldwide.&lt;/p&gt;&lt;img src='assets/Card-124.png' class='cardImage' loading='lazy'&gt;&lt;/div&gt;&lt;div class='title'&gt;
          &lt;span&gt;Army Criminal Investigation Command&lt;/span&gt;&lt;/div&gt;&lt;/div&gt;&lt;/div&gt;&lt;/a&gt;&lt;/div&gt;&lt;script&gt;var jsA12 = document.getElementById('A12').innerHTML;&lt;/script&gt;</v>
      </c>
      <c r="Y2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Criminal Investigation Command - https://www.cid.army.mil/ --&gt;
      &lt;summary&gt;• &lt;a href='https://www.cid.army.mil/' rel='noopener noreferrer'&gt;Army Criminal Investigation Command - https://www.cid.army.mil/&lt;/a&gt;&lt;/summary&gt;
      &lt;p&gt;It is up to the Army Criminal Investigation Command to investigate and deter serious crimes in which the Army has an interest. CID collects, analyzes, processes and disseminates criminal intelligence; conducts protective service operations; provides forensic laboratory support to all DoD investigative agencies, and maintains Army criminal records. CID also provides criminal investigative support to all U.S. Army elements and deploys on short notice in support of contingency operations worldwide.&lt;/p&gt;
    &lt;/details&gt;</v>
      </c>
      <c r="Z27" s="1" t="str">
        <f t="shared" si="1"/>
        <v xml:space="preserve">          &lt;!-- Army Criminal Investigation Command - https://www.cid.army.mil/ --&gt;&lt;div id='dragA12' class='catAll catLegal'&gt;&lt;div class='column hideMarquee' draggable='true' ondragstart='drag(event)' value='A12' id='A12'&gt;&lt;div class='armyCardContainer ssCard'&gt;&lt;div class='ssArmyCard'&gt;&lt;div&gt;&lt;p class='marquee'&gt;It is up to the Army Criminal Investigation Command to investigate and deter serious crimes in which the Army has an interest. CID collects, analyzes, processes and disseminates criminal intelligence; conducts protective service operations; provides forensic laboratory support to all DoD investigative agencies, and maintains Army criminal records. CID also provides criminal investigative support to all U.S. Army elements and deploys on short notice in support of contingency operations worldwide.&lt;/p&gt;&lt;img src='assets/Card-124.png' class='ssCardImage' draggable='false' loading='lazy'&gt;&lt;/div&gt;&lt;div class='ssTitle'&gt;&lt;span id='A12Title'&gt;Army Criminal Investigation Command&lt;/span&gt;&lt;/div&gt;&lt;/div&gt;&lt;/div&gt;&lt;/div&gt;&lt;/div&gt;&lt;script&gt;var jsA12 = document.getElementById('dragA12').innerHTML;&lt;/script&gt;</v>
      </c>
      <c r="AA27" s="1" t="str">
        <f>CONCATENATE("var js",Table1[[#This Row],[IDs]]," = document.getElementbyId('drag",Table1[[#This Row],[IDs]],"').innerHTML; //  ",Table1[[#This Row],[Site]])</f>
        <v>var jsA12 = document.getElementbyId('dragA12').innerHTML; //  Army Criminal Investigation Command</v>
      </c>
    </row>
    <row r="28" spans="1:27" ht="15" x14ac:dyDescent="0.25">
      <c r="A28" t="s">
        <v>358</v>
      </c>
      <c r="B28" t="s">
        <v>358</v>
      </c>
      <c r="C28" s="2" t="s">
        <v>359</v>
      </c>
      <c r="D28" t="s">
        <v>586</v>
      </c>
      <c r="E28" t="s">
        <v>585</v>
      </c>
      <c r="F28" s="2" t="s">
        <v>54</v>
      </c>
      <c r="G28" s="2" t="s">
        <v>900</v>
      </c>
      <c r="H28" s="2" t="s">
        <v>552</v>
      </c>
      <c r="I28" s="2"/>
      <c r="J28" s="2"/>
      <c r="K28" s="2"/>
      <c r="L28" s="2"/>
      <c r="M28" s="2"/>
      <c r="N28" s="2"/>
      <c r="O28" s="2" t="s">
        <v>18</v>
      </c>
      <c r="P28" s="2"/>
      <c r="Q28" s="2"/>
      <c r="R28" s="2"/>
      <c r="S28" s="2"/>
      <c r="T28" s="2"/>
      <c r="U28" s="2"/>
      <c r="V28" s="2"/>
      <c r="W28" s="3" t="str">
        <f>CONCATENATE("var js",Table1[[#This Row],[IDs]]," = document.getElementbyId('",Table1[[#This Row],[IDs]],"').innerHTML; //  ",Table1[[#This Row],[Site]])</f>
        <v>var jsA13 = document.getElementbyId('A13').innerHTML; //  Army Disaster Personnel Accountability and Assessment System (ADPAAS)</v>
      </c>
      <c r="X28" s="1" t="str">
        <f t="shared" si="0"/>
        <v xml:space="preserve">        &lt;!--Army Disaster Personnel Accountability and Assessment System (ADPAAS) - https://adpaas.army.mil/ --&gt;&lt;div class='column catAll catHuman' style='margin-bottom: 0px;' id='A13'&gt;&lt;a href='https://adpaas.army.mil/' rel='noopener noreferrer' class='column hideMarquee'&gt;&lt;div class='armyCardContainer card'&gt;&lt;div class='armyCard'&gt;&lt;div&gt;&lt;p class='marquee'&gt;Army Disaster Personnel Accountability and Assessment System (ADPAAS) standardizes a method for the Army to account, assess, manage, and monitor the recovery process for personnel and their families affected and/or scattered by a wide-spread catastrophic event. ADPAAS provides valuable information to all levels of the Army chain of command, allowing commanders to make strategic decisions which facilitate a return to stability.&lt;/p&gt;&lt;img src='assets/CaCRequired.png' title='A CAC is required to use some or all features of this site!' Class='cacLocked'&gt;&lt;img src='assets/Card-120.jpg' class='cardImage' loading='lazy'&gt;&lt;/div&gt;&lt;div class='title'&gt;
          &lt;span&gt;Army Disaster Personnel Accountability and Assessment System (ADPAAS)&lt;/span&gt;&lt;/div&gt;&lt;/div&gt;&lt;/div&gt;&lt;/a&gt;&lt;/div&gt;&lt;script&gt;var jsA13 = document.getElementById('A13').innerHTML;&lt;/script&gt;</v>
      </c>
      <c r="Y2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Disaster Personnel Accountability and Assessment System (ADPAAS) - https://adpaas.army.mil/ --&gt;
      &lt;summary&gt;• &lt;a href='https://adpaas.army.mil/' rel='noopener noreferrer'&gt;Army Disaster Personnel Accountability and Assessment System (ADPAAS) - https://adpaas.army.mil/&lt;/a&gt;&lt;/summary&gt;
      &lt;p&gt;Army Disaster Personnel Accountability and Assessment System (ADPAAS) standardizes a method for the Army to account, assess, manage, and monitor the recovery process for personnel and their families affected and/or scattered by a wide-spread catastrophic event. ADPAAS provides valuable information to all levels of the Army chain of command, allowing commanders to make strategic decisions which facilitate a return to stability.&lt;/p&gt;
    &lt;/details&gt;</v>
      </c>
      <c r="Z28" s="1" t="str">
        <f t="shared" si="1"/>
        <v xml:space="preserve">          &lt;!-- Army Disaster Personnel Accountability and Assessment System (ADPAAS) - https://adpaas.army.mil/ --&gt;&lt;div id='dragA13' class='catAll catHuman'&gt;&lt;div class='column hideMarquee' draggable='true' ondragstart='drag(event)' value='A13' id='A13'&gt;&lt;div class='armyCardContainer ssCard'&gt;&lt;div class='ssArmyCard'&gt;&lt;div&gt;&lt;p class='marquee'&gt;Army Disaster Personnel Accountability and Assessment System (ADPAAS) standardizes a method for the Army to account, assess, manage, and monitor the recovery process for personnel and their families affected and/or scattered by a wide-spread catastrophic event. ADPAAS provides valuable information to all levels of the Army chain of command, allowing commanders to make strategic decisions which facilitate a return to stability.&lt;/p&gt;&lt;img src='assets/Card-120.jpg' class='ssCardImage' draggable='false' loading='lazy'&gt;&lt;/div&gt;&lt;div class='ssTitle'&gt;&lt;span id='A13Title'&gt;Army Disaster Personnel Accountability and Assessment System (ADPAAS)&lt;/span&gt;&lt;/div&gt;&lt;/div&gt;&lt;/div&gt;&lt;/div&gt;&lt;/div&gt;&lt;script&gt;var jsA13 = document.getElementById('dragA13').innerHTML;&lt;/script&gt;</v>
      </c>
      <c r="AA28" s="1" t="str">
        <f>CONCATENATE("var js",Table1[[#This Row],[IDs]]," = document.getElementbyId('drag",Table1[[#This Row],[IDs]],"').innerHTML; //  ",Table1[[#This Row],[Site]])</f>
        <v>var jsA13 = document.getElementbyId('dragA13').innerHTML; //  Army Disaster Personnel Accountability and Assessment System (ADPAAS)</v>
      </c>
    </row>
    <row r="29" spans="1:27" ht="15" x14ac:dyDescent="0.25">
      <c r="A29" t="s">
        <v>45</v>
      </c>
      <c r="B29" t="s">
        <v>45</v>
      </c>
      <c r="C29" s="2" t="s">
        <v>46</v>
      </c>
      <c r="D29" t="s">
        <v>587</v>
      </c>
      <c r="E29" t="s">
        <v>588</v>
      </c>
      <c r="F29" s="2" t="s">
        <v>56</v>
      </c>
      <c r="G29" s="2" t="s">
        <v>900</v>
      </c>
      <c r="H29" s="2" t="s">
        <v>552</v>
      </c>
      <c r="I29" s="2" t="s">
        <v>18</v>
      </c>
      <c r="J29" s="2"/>
      <c r="K29" s="2"/>
      <c r="L29" s="2"/>
      <c r="M29" s="2"/>
      <c r="N29" s="2"/>
      <c r="O29" s="2"/>
      <c r="P29" s="2"/>
      <c r="Q29" s="2" t="s">
        <v>18</v>
      </c>
      <c r="R29" s="2"/>
      <c r="S29" s="2" t="s">
        <v>18</v>
      </c>
      <c r="T29" s="2" t="s">
        <v>18</v>
      </c>
      <c r="U29" s="2"/>
      <c r="V29" s="2"/>
      <c r="W29" s="3" t="str">
        <f>CONCATENATE("var js",Table1[[#This Row],[IDs]]," = document.getElementbyId('",Table1[[#This Row],[IDs]],"').innerHTML; //  ",Table1[[#This Row],[Site]])</f>
        <v>var jsA14 = document.getElementbyId('A14').innerHTML; //  Army E-Learning</v>
      </c>
      <c r="X29" s="1" t="str">
        <f t="shared" si="0"/>
        <v xml:space="preserve">        &lt;!--Army E-Learning - https://www.dls.army.mil/Army_e-Learning.html --&gt;&lt;div class='column catAll catArmySites catProDev catMilEd catCivEd' style='margin-bottom: 0px;' id='A14'&gt;&lt;a href='https://www.dls.army.mil/Army_e-Learning.html' rel='noopener noreferrer' class='column hideMarquee'&gt;&lt;div class='armyCardContainer card'&gt;&lt;div class='armyCard'&gt;&lt;div&gt;&lt;p class='marquee'&gt;With Army e-Learning you have access over 3,500 web-based courses in Information Technology, Business Leadership and Personal Development. These can be accessed through Skillport.&lt;/p&gt;&lt;img src='assets/CaCRequired.png' title='A CAC is required to use some or all features of this site!' Class='cacLocked'&gt;&lt;img src='assets/Card-031.png' class='cardImage' loading='lazy'&gt;&lt;/div&gt;&lt;div class='title'&gt;
          &lt;span&gt;Army E-Learning&lt;/span&gt;&lt;/div&gt;&lt;/div&gt;&lt;/div&gt;&lt;/a&gt;&lt;/div&gt;&lt;script&gt;var jsA14 = document.getElementById('A14').innerHTML;&lt;/script&gt;</v>
      </c>
      <c r="Y2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E-Learning - https://www.dls.army.mil/Army_e-Learning.html --&gt;
      &lt;summary&gt;• &lt;a href='https://www.dls.army.mil/Army_e-Learning.html' rel='noopener noreferrer'&gt;Army E-Learning - https://www.dls.army.mil/Army_e-Learning.html&lt;/a&gt;&lt;/summary&gt;
      &lt;p&gt;With Army e-Learning you have access over 3,500 web-based courses in Information Technology, Business Leadership and Personal Development. These can be accessed through Skillport.&lt;/p&gt;
    &lt;/details&gt;</v>
      </c>
      <c r="Z29" s="1" t="str">
        <f t="shared" si="1"/>
        <v xml:space="preserve">          &lt;!-- Army E-Learning - https://www.dls.army.mil/Army_e-Learning.html --&gt;&lt;div id='dragA14' class='catAll catArmySites catProDev catMilEd catCivEd'&gt;&lt;div class='column hideMarquee' draggable='true' ondragstart='drag(event)' value='A14' id='A14'&gt;&lt;div class='armyCardContainer ssCard'&gt;&lt;div class='ssArmyCard'&gt;&lt;div&gt;&lt;p class='marquee'&gt;With Army e-Learning you have access over 3,500 web-based courses in Information Technology, Business Leadership and Personal Development. These can be accessed through Skillport.&lt;/p&gt;&lt;img src='assets/Card-031.png' class='ssCardImage' draggable='false' loading='lazy'&gt;&lt;/div&gt;&lt;div class='ssTitle'&gt;&lt;span id='A14Title'&gt;Army E-Learning&lt;/span&gt;&lt;/div&gt;&lt;/div&gt;&lt;/div&gt;&lt;/div&gt;&lt;/div&gt;&lt;script&gt;var jsA14 = document.getElementById('dragA14').innerHTML;&lt;/script&gt;</v>
      </c>
      <c r="AA29" s="1" t="str">
        <f>CONCATENATE("var js",Table1[[#This Row],[IDs]]," = document.getElementbyId('drag",Table1[[#This Row],[IDs]],"').innerHTML; //  ",Table1[[#This Row],[Site]])</f>
        <v>var jsA14 = document.getElementbyId('dragA14').innerHTML; //  Army E-Learning</v>
      </c>
    </row>
    <row r="30" spans="1:27" ht="15" x14ac:dyDescent="0.25">
      <c r="A30" t="s">
        <v>379</v>
      </c>
      <c r="B30" t="s">
        <v>379</v>
      </c>
      <c r="C30" s="15" t="s">
        <v>1042</v>
      </c>
      <c r="D30" t="s">
        <v>589</v>
      </c>
      <c r="E30" t="s">
        <v>590</v>
      </c>
      <c r="F30" s="2" t="s">
        <v>59</v>
      </c>
      <c r="G30" s="2" t="s">
        <v>900</v>
      </c>
      <c r="H30" s="2" t="s">
        <v>552</v>
      </c>
      <c r="I30" s="2" t="s">
        <v>18</v>
      </c>
      <c r="J30" s="2"/>
      <c r="K30" s="2"/>
      <c r="L30" s="2"/>
      <c r="M30" s="2"/>
      <c r="N30" s="2"/>
      <c r="O30" s="2"/>
      <c r="P30" s="2"/>
      <c r="Q30" s="2"/>
      <c r="R30" s="2"/>
      <c r="S30" s="2"/>
      <c r="T30" s="2"/>
      <c r="U30" s="2"/>
      <c r="V30" s="2"/>
      <c r="W30" s="3" t="str">
        <f>CONCATENATE("var js",Table1[[#This Row],[IDs]]," = document.getElementbyId('",Table1[[#This Row],[IDs]],"').innerHTML; //  ",Table1[[#This Row],[Site]])</f>
        <v>var jsA15 = document.getElementbyId('A15').innerHTML; //  Army Email (@army.mil)</v>
      </c>
      <c r="X30" s="1" t="str">
        <f t="shared" si="0"/>
        <v xml:space="preserve">        &lt;!--Army Email (@army.mil) - https://webmail.apps.mil/owa/?domain_hint=army.mil --&gt;&lt;div class='column catAll catArmySites' style='margin-bottom: 0px;' id='A15'&gt;&lt;a href='https://webmail.apps.mil/owa/?domain_hint=army.mil' rel='noopener noreferrer' class='column hideMarquee'&gt;&lt;div class='armyCardContainer card'&gt;&lt;div class='armyCard'&gt;&lt;div&gt;&lt;p class='marquee'&gt;Provides access to the Army's web mail portal for 'army.mil' web address. Use your army.mil when prompted for an email address.&lt;/p&gt;&lt;img src='assets/CaCRequired.png' title='A CAC is required to use some or all features of this site!' Class='cacLocked'&gt;&lt;img src='assets/Card-089.png' class='cardImage' loading='lazy'&gt;&lt;/div&gt;&lt;div class='title'&gt;
          &lt;span&gt;Army Email (@army.mil)&lt;/span&gt;&lt;/div&gt;&lt;/div&gt;&lt;/div&gt;&lt;/a&gt;&lt;/div&gt;&lt;script&gt;var jsA15 = document.getElementById('A15').innerHTML;&lt;/script&gt;</v>
      </c>
      <c r="Y3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Email (@army.mil) - https://webmail.apps.mil/owa/?domain_hint=army.mil --&gt;
      &lt;summary&gt;• &lt;a href='https://webmail.apps.mil/owa/?domain_hint=army.mil' rel='noopener noreferrer'&gt;Army Email (@army.mil) - https://webmail.apps.mil/owa/?domain_hint=army.mil&lt;/a&gt;&lt;/summary&gt;
      &lt;p&gt;Provides access to the Army's web mail portal for 'army.mil' web address. Use your army.mil when prompted for an email address.&lt;/p&gt;
    &lt;/details&gt;</v>
      </c>
      <c r="Z30" s="1" t="str">
        <f t="shared" si="1"/>
        <v xml:space="preserve">          &lt;!-- Army Email (@army.mil) - https://webmail.apps.mil/owa/?domain_hint=army.mil --&gt;&lt;div id='dragA15' class='catAll catArmySites'&gt;&lt;div class='column hideMarquee' draggable='true' ondragstart='drag(event)' value='A15' id='A15'&gt;&lt;div class='armyCardContainer ssCard'&gt;&lt;div class='ssArmyCard'&gt;&lt;div&gt;&lt;p class='marquee'&gt;Provides access to the Army's web mail portal for 'army.mil' web address. Use your army.mil when prompted for an email address.&lt;/p&gt;&lt;img src='assets/Card-089.png' class='ssCardImage' draggable='false' loading='lazy'&gt;&lt;/div&gt;&lt;div class='ssTitle'&gt;&lt;span id='A15Title'&gt;Army Email (@army.mil)&lt;/span&gt;&lt;/div&gt;&lt;/div&gt;&lt;/div&gt;&lt;/div&gt;&lt;/div&gt;&lt;script&gt;var jsA15 = document.getElementById('dragA15').innerHTML;&lt;/script&gt;</v>
      </c>
      <c r="AA30" s="1" t="str">
        <f>CONCATENATE("var js",Table1[[#This Row],[IDs]]," = document.getElementbyId('drag",Table1[[#This Row],[IDs]],"').innerHTML; //  ",Table1[[#This Row],[Site]])</f>
        <v>var jsA15 = document.getElementbyId('dragA15').innerHTML; //  Army Email (@army.mil)</v>
      </c>
    </row>
    <row r="31" spans="1:27" ht="15" x14ac:dyDescent="0.25">
      <c r="A31" t="s">
        <v>381</v>
      </c>
      <c r="B31" t="s">
        <v>381</v>
      </c>
      <c r="C31" s="2" t="s">
        <v>109</v>
      </c>
      <c r="D31" t="s">
        <v>589</v>
      </c>
      <c r="E31" t="s">
        <v>591</v>
      </c>
      <c r="F31" s="2" t="s">
        <v>62</v>
      </c>
      <c r="G31" s="2" t="s">
        <v>900</v>
      </c>
      <c r="H31" s="2" t="s">
        <v>552</v>
      </c>
      <c r="I31" s="2" t="s">
        <v>18</v>
      </c>
      <c r="J31" s="2"/>
      <c r="K31" s="2"/>
      <c r="L31" s="2"/>
      <c r="M31" s="2"/>
      <c r="N31" s="2"/>
      <c r="O31" s="2"/>
      <c r="P31" s="2"/>
      <c r="Q31" s="2"/>
      <c r="R31" s="2"/>
      <c r="S31" s="2"/>
      <c r="T31" s="2"/>
      <c r="U31" s="2"/>
      <c r="V31" s="2"/>
      <c r="W31" s="3" t="str">
        <f>CONCATENATE("var js",Table1[[#This Row],[IDs]]," = document.getElementbyId('",Table1[[#This Row],[IDs]],"').innerHTML; //  ",Table1[[#This Row],[Site]])</f>
        <v>var jsA16 = document.getElementbyId('A16').innerHTML; //  Army Email (@mail.mil)</v>
      </c>
      <c r="X31" s="1" t="str">
        <f t="shared" si="0"/>
        <v xml:space="preserve">        &lt;!--Army Email (@mail.mil) - https://web.mail.mil --&gt;&lt;div class='column catAll catArmySites' style='margin-bottom: 0px;' id='A16'&gt;&lt;a href='https://web.mail.mil' rel='noopener noreferrer' class='column hideMarquee'&gt;&lt;div class='armyCardContainer card'&gt;&lt;div class='armyCard'&gt;&lt;div&gt;&lt;p class='marquee'&gt;Provides access to the Army's web mail portal for 'mail.mil' web address.&lt;/p&gt;&lt;img src='assets/CaCRequired.png' title='A CAC is required to use some or all features of this site!' Class='cacLocked'&gt;&lt;img src='assets/Card-089.png' class='cardImage' loading='lazy'&gt;&lt;/div&gt;&lt;div class='title'&gt;
          &lt;span&gt;Army Email (@mail.mil)&lt;/span&gt;&lt;/div&gt;&lt;/div&gt;&lt;/div&gt;&lt;/a&gt;&lt;/div&gt;&lt;script&gt;var jsA16 = document.getElementById('A16').innerHTML;&lt;/script&gt;</v>
      </c>
      <c r="Y3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Email (@mail.mil) - https://web.mail.mil --&gt;
      &lt;summary&gt;• &lt;a href='https://web.mail.mil' rel='noopener noreferrer'&gt;Army Email (@mail.mil) - https://web.mail.mil&lt;/a&gt;&lt;/summary&gt;
      &lt;p&gt;Provides access to the Army's web mail portal for 'mail.mil' web address.&lt;/p&gt;
    &lt;/details&gt;</v>
      </c>
      <c r="Z31" s="1" t="str">
        <f t="shared" si="1"/>
        <v xml:space="preserve">          &lt;!-- Army Email (@mail.mil) - https://web.mail.mil --&gt;&lt;div id='dragA16' class='catAll catArmySites'&gt;&lt;div class='column hideMarquee' draggable='true' ondragstart='drag(event)' value='A16' id='A16'&gt;&lt;div class='armyCardContainer ssCard'&gt;&lt;div class='ssArmyCard'&gt;&lt;div&gt;&lt;p class='marquee'&gt;Provides access to the Army's web mail portal for 'mail.mil' web address.&lt;/p&gt;&lt;img src='assets/Card-089.png' class='ssCardImage' draggable='false' loading='lazy'&gt;&lt;/div&gt;&lt;div class='ssTitle'&gt;&lt;span id='A16Title'&gt;Army Email (@mail.mil)&lt;/span&gt;&lt;/div&gt;&lt;/div&gt;&lt;/div&gt;&lt;/div&gt;&lt;/div&gt;&lt;script&gt;var jsA16 = document.getElementById('dragA16').innerHTML;&lt;/script&gt;</v>
      </c>
      <c r="AA31" s="1" t="str">
        <f>CONCATENATE("var js",Table1[[#This Row],[IDs]]," = document.getElementbyId('drag",Table1[[#This Row],[IDs]],"').innerHTML; //  ",Table1[[#This Row],[Site]])</f>
        <v>var jsA16 = document.getElementbyId('dragA16').innerHTML; //  Army Email (@mail.mil)</v>
      </c>
    </row>
    <row r="32" spans="1:27" ht="15" x14ac:dyDescent="0.25">
      <c r="A32" t="s">
        <v>470</v>
      </c>
      <c r="B32" t="s">
        <v>470</v>
      </c>
      <c r="C32" s="10" t="s">
        <v>459</v>
      </c>
      <c r="D32" t="s">
        <v>593</v>
      </c>
      <c r="E32" t="s">
        <v>592</v>
      </c>
      <c r="F32" s="2" t="s">
        <v>938</v>
      </c>
      <c r="G32" s="2" t="s">
        <v>900</v>
      </c>
      <c r="H32" s="2" t="s">
        <v>552</v>
      </c>
      <c r="I32" s="2" t="s">
        <v>18</v>
      </c>
      <c r="J32" s="2"/>
      <c r="K32" s="2"/>
      <c r="L32" s="2"/>
      <c r="M32" s="2"/>
      <c r="N32" s="2"/>
      <c r="O32" s="2"/>
      <c r="P32" s="2"/>
      <c r="Q32" s="2"/>
      <c r="R32" s="2"/>
      <c r="S32" s="2"/>
      <c r="T32" s="2"/>
      <c r="U32" s="2"/>
      <c r="V32" s="2"/>
      <c r="W32" s="3" t="str">
        <f>CONCATENATE("var js",Table1[[#This Row],[IDs]]," = document.getElementbyId('",Table1[[#This Row],[IDs]],"').innerHTML; //  ",Table1[[#This Row],[Site]])</f>
        <v>var jsA48 = document.getElementbyId('A48').innerHTML; //  Army Emergency Relief (AER)</v>
      </c>
      <c r="X32" s="1" t="str">
        <f t="shared" si="0"/>
        <v xml:space="preserve">        &lt;!--Army Emergency Relief (AER) - https://www.armyemergencyrelief.org/ --&gt;&lt;div class='column catAll catArmySites' style='margin-bottom: 0px;' id='A48'&gt;&lt;a href='https://www.armyemergencyrelief.org/' rel='noopener noreferrer' class='column hideMarquee'&gt;&lt;div class='armyCardContainer card'&gt;&lt;div class='armyCard'&gt;&lt;div&gt;&lt;p class='marquee'&gt;Army Emergency Relief (AER) is a private, nonprofit organization that was created to help Soldiers and their Family members who experience financial emergencies. AER provides funds to help Soldiers with immediate financial needs with rent, utilities, emergency travel, etc. You can find information or donate to them here.&lt;/p&gt;&lt;img src='assets/CaCRequired.png' title='A CAC is required to use some or all features of this site!' Class='cacLocked'&gt;&lt;img src='assets/Card-146.jpg' class='cardImage' loading='lazy'&gt;&lt;/div&gt;&lt;div class='title'&gt;
          &lt;span&gt;Army Emergency Relief (AER)&lt;/span&gt;&lt;/div&gt;&lt;/div&gt;&lt;/div&gt;&lt;/a&gt;&lt;/div&gt;&lt;script&gt;var jsA48 = document.getElementById('A48').innerHTML;&lt;/script&gt;</v>
      </c>
      <c r="Y3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Emergency Relief (AER) - https://www.armyemergencyrelief.org/ --&gt;
      &lt;summary&gt;• &lt;a href='https://www.armyemergencyrelief.org/' rel='noopener noreferrer'&gt;Army Emergency Relief (AER) - https://www.armyemergencyrelief.org/&lt;/a&gt;&lt;/summary&gt;
      &lt;p&gt;Army Emergency Relief (AER) is a private, nonprofit organization that was created to help Soldiers and their Family members who experience financial emergencies. AER provides funds to help Soldiers with immediate financial needs with rent, utilities, emergency travel, etc. You can find information or donate to them here.&lt;/p&gt;
    &lt;/details&gt;</v>
      </c>
      <c r="Z32" s="1" t="str">
        <f t="shared" si="1"/>
        <v xml:space="preserve">          &lt;!-- Army Emergency Relief (AER) - https://www.armyemergencyrelief.org/ --&gt;&lt;div id='dragA48' class='catAll catArmySites'&gt;&lt;div class='column hideMarquee' draggable='true' ondragstart='drag(event)' value='A48' id='A48'&gt;&lt;div class='armyCardContainer ssCard'&gt;&lt;div class='ssArmyCard'&gt;&lt;div&gt;&lt;p class='marquee'&gt;Army Emergency Relief (AER) is a private, nonprofit organization that was created to help Soldiers and their Family members who experience financial emergencies. AER provides funds to help Soldiers with immediate financial needs with rent, utilities, emergency travel, etc. You can find information or donate to them here.&lt;/p&gt;&lt;img src='assets/Card-146.jpg' class='ssCardImage' draggable='false' loading='lazy'&gt;&lt;/div&gt;&lt;div class='ssTitle'&gt;&lt;span id='A48Title'&gt;Army Emergency Relief (AER)&lt;/span&gt;&lt;/div&gt;&lt;/div&gt;&lt;/div&gt;&lt;/div&gt;&lt;/div&gt;&lt;script&gt;var jsA48 = document.getElementById('dragA48').innerHTML;&lt;/script&gt;</v>
      </c>
      <c r="AA32" s="1" t="str">
        <f>CONCATENATE("var js",Table1[[#This Row],[IDs]]," = document.getElementbyId('drag",Table1[[#This Row],[IDs]],"').innerHTML; //  ",Table1[[#This Row],[Site]])</f>
        <v>var jsA48 = document.getElementbyId('dragA48').innerHTML; //  Army Emergency Relief (AER)</v>
      </c>
    </row>
    <row r="33" spans="1:27" ht="15" x14ac:dyDescent="0.25">
      <c r="A33" t="s">
        <v>48</v>
      </c>
      <c r="B33" t="s">
        <v>48</v>
      </c>
      <c r="C33" s="2" t="s">
        <v>49</v>
      </c>
      <c r="D33" t="s">
        <v>594</v>
      </c>
      <c r="E33" t="s">
        <v>595</v>
      </c>
      <c r="F33" s="2" t="s">
        <v>65</v>
      </c>
      <c r="G33" s="2" t="s">
        <v>900</v>
      </c>
      <c r="H33" s="2" t="s">
        <v>552</v>
      </c>
      <c r="I33" s="2"/>
      <c r="J33" s="2"/>
      <c r="K33" s="2"/>
      <c r="L33" s="2"/>
      <c r="M33" s="2"/>
      <c r="N33" s="2"/>
      <c r="O33" s="2"/>
      <c r="P33" s="2"/>
      <c r="Q33" s="2"/>
      <c r="R33" s="2" t="s">
        <v>18</v>
      </c>
      <c r="S33" s="2"/>
      <c r="T33" s="2"/>
      <c r="U33" s="2"/>
      <c r="V33" s="2"/>
      <c r="W33" s="3" t="str">
        <f>CONCATENATE("var js",Table1[[#This Row],[IDs]]," = document.getElementbyId('",Table1[[#This Row],[IDs]],"').innerHTML; //  ",Table1[[#This Row],[Site]])</f>
        <v>var jsA17 = document.getElementbyId('A17').innerHTML; //  Army Enterprise Service Desk (AESD)</v>
      </c>
      <c r="X33" s="1" t="str">
        <f t="shared" si="0"/>
        <v xml:space="preserve">        &lt;!--Army Enterprise Service Desk (AESD) - https://snpro.aesd-w.army.mil/ --&gt;&lt;div class='column catAll catTech' style='margin-bottom: 0px;' id='A17'&gt;&lt;a href='https://snpro.aesd-w.army.mil/' rel='noopener noreferrer' class='column hideMarquee'&gt;&lt;div class='armyCardContainer card'&gt;&lt;div class='armyCard'&gt;&lt;div&gt;&lt;p class='marquee'&gt;The Army Enterprise Service Desk is the Army's help desk. Submit a ticket through them if a web site is not working properly.&lt;/p&gt;&lt;img src='assets/CaCRequired.png' title='A CAC is required to use some or all features of this site!' Class='cacLocked'&gt;&lt;img src='assets/Card-092.png' class='cardImage' loading='lazy'&gt;&lt;/div&gt;&lt;div class='title'&gt;
          &lt;span&gt;Army Enterprise Service Desk (AESD)&lt;/span&gt;&lt;/div&gt;&lt;/div&gt;&lt;/div&gt;&lt;/a&gt;&lt;/div&gt;&lt;script&gt;var jsA17 = document.getElementById('A17').innerHTML;&lt;/script&gt;</v>
      </c>
      <c r="Y3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Enterprise Service Desk (AESD) - https://snpro.aesd-w.army.mil/ --&gt;
      &lt;summary&gt;• &lt;a href='https://snpro.aesd-w.army.mil/' rel='noopener noreferrer'&gt;Army Enterprise Service Desk (AESD) - https://snpro.aesd-w.army.mil/&lt;/a&gt;&lt;/summary&gt;
      &lt;p&gt;The Army Enterprise Service Desk is the Army's help desk. Submit a ticket through them if a web site is not working properly.&lt;/p&gt;
    &lt;/details&gt;</v>
      </c>
      <c r="Z33" s="1" t="str">
        <f t="shared" si="1"/>
        <v xml:space="preserve">          &lt;!-- Army Enterprise Service Desk (AESD) - https://snpro.aesd-w.army.mil/ --&gt;&lt;div id='dragA17' class='catAll catTech'&gt;&lt;div class='column hideMarquee' draggable='true' ondragstart='drag(event)' value='A17' id='A17'&gt;&lt;div class='armyCardContainer ssCard'&gt;&lt;div class='ssArmyCard'&gt;&lt;div&gt;&lt;p class='marquee'&gt;The Army Enterprise Service Desk is the Army's help desk. Submit a ticket through them if a web site is not working properly.&lt;/p&gt;&lt;img src='assets/Card-092.png' class='ssCardImage' draggable='false' loading='lazy'&gt;&lt;/div&gt;&lt;div class='ssTitle'&gt;&lt;span id='A17Title'&gt;Army Enterprise Service Desk (AESD)&lt;/span&gt;&lt;/div&gt;&lt;/div&gt;&lt;/div&gt;&lt;/div&gt;&lt;/div&gt;&lt;script&gt;var jsA17 = document.getElementById('dragA17').innerHTML;&lt;/script&gt;</v>
      </c>
      <c r="AA33" s="1" t="str">
        <f>CONCATENATE("var js",Table1[[#This Row],[IDs]]," = document.getElementbyId('drag",Table1[[#This Row],[IDs]],"').innerHTML; //  ",Table1[[#This Row],[Site]])</f>
        <v>var jsA17 = document.getElementbyId('dragA17').innerHTML; //  Army Enterprise Service Desk (AESD)</v>
      </c>
    </row>
    <row r="34" spans="1:27" ht="15" x14ac:dyDescent="0.25">
      <c r="A34" t="s">
        <v>876</v>
      </c>
      <c r="B34" t="s">
        <v>876</v>
      </c>
      <c r="C34" s="10" t="s">
        <v>51</v>
      </c>
      <c r="D34" t="s">
        <v>597</v>
      </c>
      <c r="E34" t="s">
        <v>596</v>
      </c>
      <c r="F34" s="2" t="s">
        <v>68</v>
      </c>
      <c r="G34" s="2" t="s">
        <v>900</v>
      </c>
      <c r="H34" s="2" t="s">
        <v>552</v>
      </c>
      <c r="I34" s="2" t="s">
        <v>18</v>
      </c>
      <c r="J34" s="2"/>
      <c r="K34" s="2"/>
      <c r="L34" s="2"/>
      <c r="M34" s="2"/>
      <c r="N34" s="2"/>
      <c r="O34" s="2"/>
      <c r="P34" s="2"/>
      <c r="Q34" s="2"/>
      <c r="R34" s="2"/>
      <c r="S34" s="2"/>
      <c r="T34" s="2"/>
      <c r="U34" s="2"/>
      <c r="V34" s="2"/>
      <c r="W34" s="3" t="str">
        <f>CONCATENATE("var js",Table1[[#This Row],[IDs]]," = document.getElementbyId('",Table1[[#This Row],[IDs]],"').innerHTML; //  ",Table1[[#This Row],[Site]])</f>
        <v>var jsA18 = document.getElementbyId('A18').innerHTML; //  Army Enterprise Systems Integration Program (AESIP)</v>
      </c>
      <c r="X34" s="1" t="str">
        <f t="shared" ref="X34:X65" si="2">CONCATENATE("        &lt;!--",A34," - ",C34," --&gt;&lt;div class='column catAll",IF(I34="X"," catArmySites",""),IF(J34="X"," catCombatReadiness",""),IF(K34="X"," catDod",""),IF(L34="X"," catFamily",""),IF(M34="X"," catFinance",""),IF(N34="X"," catHealth",""),IF(O34="X"," catHuman",""),IF(P34="X"," catLegal",""),IF(Q34="X"," catProDev",""),IF(R34="X"," catTech",""),IF(S34="X"," catMilEd",""),IF(T34="X"," catCivEd",""),IF(U34="X"," catUsGov",""),"' style='margin-bottom: 0px;' id='",F34,"'&gt;&lt;a href='",C34,"' rel='noopener noreferrer' class='column hideMarquee'&gt;&lt;div class='armyCardContainer card'&gt;&lt;div class='armyCard'&gt;&lt;div&gt;&lt;p class='marquee'&gt;",E34,"&lt;/p&gt;",IF(H34="Yes","&lt;img src='assets/CaCRequired.png' title='A CAC is required to use some or all features of this site!' Class='cacLocked'&gt;",""),IF(G34="Yes","&lt;img src='assets/DODlock.png' title='This Site requires a DoD network connection to be used!' Class='dodLocked'&gt;",""),"&lt;img src='assets/",D34,"' class='cardImage' loading='lazy'&gt;&lt;/div&gt;&lt;div class='title'&gt;
          &lt;span&gt;",A34,"&lt;/span&gt;&lt;/div&gt;&lt;/div&gt;&lt;/div&gt;&lt;/a&gt;&lt;/div&gt;&lt;script&gt;var js",F34," = document.getElementById('",F34,"').innerHTML;&lt;/script&gt;")</f>
        <v xml:space="preserve">        &lt;!--Army Enterprise Systems Integration Program (AESIP) - https://login.aesip.army.mil --&gt;&lt;div class='column catAll catArmySites' style='margin-bottom: 0px;' id='A18'&gt;&lt;a href='https://login.aesip.army.mil' rel='noopener noreferrer' class='column hideMarquee'&gt;&lt;div class='armyCardContainer card'&gt;&lt;div class='armyCard'&gt;&lt;div&gt;&lt;p class='marquee'&gt;Army Enterprise Systems Integration Program Hub improves Army information readiness and data agility by providing timely and data-relevant information to fully enable fact-based and resource-informed decision-making by Soldiers.&lt;/p&gt;&lt;img src='assets/CaCRequired.png' title='A CAC is required to use some or all features of this site!' Class='cacLocked'&gt;&lt;img src='assets/Card-119.png' class='cardImage' loading='lazy'&gt;&lt;/div&gt;&lt;div class='title'&gt;
          &lt;span&gt;Army Enterprise Systems Integration Program (AESIP)&lt;/span&gt;&lt;/div&gt;&lt;/div&gt;&lt;/div&gt;&lt;/a&gt;&lt;/div&gt;&lt;script&gt;var jsA18 = document.getElementById('A18').innerHTML;&lt;/script&gt;</v>
      </c>
      <c r="Y3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Enterprise Systems Integration Program (AESIP) - https://login.aesip.army.mil --&gt;
      &lt;summary&gt;• &lt;a href='https://login.aesip.army.mil' rel='noopener noreferrer'&gt;Army Enterprise Systems Integration Program (AESIP) - https://login.aesip.army.mil&lt;/a&gt;&lt;/summary&gt;
      &lt;p&gt;Army Enterprise Systems Integration Program Hub improves Army information readiness and data agility by providing timely and data-relevant information to fully enable fact-based and resource-informed decision-making by Soldiers.&lt;/p&gt;
    &lt;/details&gt;</v>
      </c>
      <c r="Z34" s="1" t="str">
        <f t="shared" si="1"/>
        <v xml:space="preserve">          &lt;!-- Army Enterprise Systems Integration Program (AESIP) - https://login.aesip.army.mil --&gt;&lt;div id='dragA18' class='catAll catArmySites'&gt;&lt;div class='column hideMarquee' draggable='true' ondragstart='drag(event)' value='A18' id='A18'&gt;&lt;div class='armyCardContainer ssCard'&gt;&lt;div class='ssArmyCard'&gt;&lt;div&gt;&lt;p class='marquee'&gt;Army Enterprise Systems Integration Program Hub improves Army information readiness and data agility by providing timely and data-relevant information to fully enable fact-based and resource-informed decision-making by Soldiers.&lt;/p&gt;&lt;img src='assets/Card-119.png' class='ssCardImage' draggable='false' loading='lazy'&gt;&lt;/div&gt;&lt;div class='ssTitle'&gt;&lt;span id='A18Title'&gt;Army Enterprise Systems Integration Program (AESIP)&lt;/span&gt;&lt;/div&gt;&lt;/div&gt;&lt;/div&gt;&lt;/div&gt;&lt;/div&gt;&lt;script&gt;var jsA18 = document.getElementById('dragA18').innerHTML;&lt;/script&gt;</v>
      </c>
      <c r="AA34" s="1" t="str">
        <f>CONCATENATE("var js",Table1[[#This Row],[IDs]]," = document.getElementbyId('drag",Table1[[#This Row],[IDs]],"').innerHTML; //  ",Table1[[#This Row],[Site]])</f>
        <v>var jsA18 = document.getElementbyId('dragA18').innerHTML; //  Army Enterprise Systems Integration Program (AESIP)</v>
      </c>
    </row>
    <row r="35" spans="1:27" ht="15" x14ac:dyDescent="0.25">
      <c r="A35" t="s">
        <v>52</v>
      </c>
      <c r="B35" t="s">
        <v>52</v>
      </c>
      <c r="C35" s="2" t="s">
        <v>53</v>
      </c>
      <c r="D35" t="s">
        <v>599</v>
      </c>
      <c r="E35" t="s">
        <v>598</v>
      </c>
      <c r="F35" s="2" t="s">
        <v>71</v>
      </c>
      <c r="G35" s="2" t="s">
        <v>900</v>
      </c>
      <c r="H35" s="2" t="s">
        <v>900</v>
      </c>
      <c r="I35" s="2" t="s">
        <v>18</v>
      </c>
      <c r="J35" s="2"/>
      <c r="K35" s="2"/>
      <c r="L35" s="2" t="s">
        <v>18</v>
      </c>
      <c r="M35" s="2"/>
      <c r="N35" s="2"/>
      <c r="O35" s="2"/>
      <c r="P35" s="2"/>
      <c r="Q35" s="2"/>
      <c r="R35" s="2"/>
      <c r="S35" s="2"/>
      <c r="T35" s="2"/>
      <c r="U35" s="2"/>
      <c r="V35" s="2"/>
      <c r="W35" s="3" t="str">
        <f>CONCATENATE("var js",Table1[[#This Row],[IDs]]," = document.getElementbyId('",Table1[[#This Row],[IDs]],"').innerHTML; //  ",Table1[[#This Row],[Site]])</f>
        <v>var jsA19 = document.getElementbyId('A19').innerHTML; //  Army Family and Moral, Welfare and Recreation Programs</v>
      </c>
      <c r="X35" s="1" t="str">
        <f t="shared" si="2"/>
        <v xml:space="preserve">        &lt;!--Army Family and Moral, Welfare and Recreation Programs - https://www.armymwr.com/ --&gt;&lt;div class='column catAll catArmySites catFamily' style='margin-bottom: 0px;' id='A19'&gt;&lt;a href='https://www.armymwr.com/' rel='noopener noreferrer' class='column hideMarquee'&gt;&lt;div class='armyCardContainer card'&gt;&lt;div class='armyCard'&gt;&lt;div&gt;&lt;p class='marquee'&gt;G9 integrates and delivers Family and Morale, Welfare and Recreation programs and services enabling readiness and resilience for a globally-responsive Army.&lt;/p&gt;&lt;img src='assets/Card-055.png' class='cardImage' loading='lazy'&gt;&lt;/div&gt;&lt;div class='title'&gt;
          &lt;span&gt;Army Family and Moral, Welfare and Recreation Programs&lt;/span&gt;&lt;/div&gt;&lt;/div&gt;&lt;/div&gt;&lt;/a&gt;&lt;/div&gt;&lt;script&gt;var jsA19 = document.getElementById('A19').innerHTML;&lt;/script&gt;</v>
      </c>
      <c r="Y3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Family and Moral, Welfare and Recreation Programs - https://www.armymwr.com/ --&gt;
      &lt;summary&gt;• &lt;a href='https://www.armymwr.com/' rel='noopener noreferrer'&gt;Army Family and Moral, Welfare and Recreation Programs - https://www.armymwr.com/&lt;/a&gt;&lt;/summary&gt;
      &lt;p&gt;G9 integrates and delivers Family and Morale, Welfare and Recreation programs and services enabling readiness and resilience for a globally-responsive Army.&lt;/p&gt;
    &lt;/details&gt;</v>
      </c>
      <c r="Z35" s="1" t="str">
        <f t="shared" si="1"/>
        <v xml:space="preserve">          &lt;!-- Army Family and Moral, Welfare and Recreation Programs - https://www.armymwr.com/ --&gt;&lt;div id='dragA19' class='catAll catArmySites catFamily'&gt;&lt;div class='column hideMarquee' draggable='true' ondragstart='drag(event)' value='A19' id='A19'&gt;&lt;div class='armyCardContainer ssCard'&gt;&lt;div class='ssArmyCard'&gt;&lt;div&gt;&lt;p class='marquee'&gt;G9 integrates and delivers Family and Morale, Welfare and Recreation programs and services enabling readiness and resilience for a globally-responsive Army.&lt;/p&gt;&lt;img src='assets/Card-055.png' class='ssCardImage' draggable='false' loading='lazy'&gt;&lt;/div&gt;&lt;div class='ssTitle'&gt;&lt;span id='A19Title'&gt;Army Family and Moral, Welfare and Recreation Programs&lt;/span&gt;&lt;/div&gt;&lt;/div&gt;&lt;/div&gt;&lt;/div&gt;&lt;/div&gt;&lt;script&gt;var jsA19 = document.getElementById('dragA19').innerHTML;&lt;/script&gt;</v>
      </c>
      <c r="AA35" s="1" t="str">
        <f>CONCATENATE("var js",Table1[[#This Row],[IDs]]," = document.getElementbyId('drag",Table1[[#This Row],[IDs]],"').innerHTML; //  ",Table1[[#This Row],[Site]])</f>
        <v>var jsA19 = document.getElementbyId('dragA19').innerHTML; //  Army Family and Moral, Welfare and Recreation Programs</v>
      </c>
    </row>
    <row r="36" spans="1:27" ht="15" x14ac:dyDescent="0.25">
      <c r="A36" t="s">
        <v>57</v>
      </c>
      <c r="B36" t="s">
        <v>57</v>
      </c>
      <c r="C36" s="2" t="s">
        <v>58</v>
      </c>
      <c r="D36" t="s">
        <v>603</v>
      </c>
      <c r="E36" t="s">
        <v>602</v>
      </c>
      <c r="F36" s="2" t="s">
        <v>76</v>
      </c>
      <c r="G36" s="2" t="s">
        <v>900</v>
      </c>
      <c r="H36" s="2" t="s">
        <v>552</v>
      </c>
      <c r="I36" s="2"/>
      <c r="J36" s="2" t="s">
        <v>18</v>
      </c>
      <c r="K36" s="2"/>
      <c r="L36" s="2"/>
      <c r="M36" s="2"/>
      <c r="N36" s="2"/>
      <c r="O36" s="2"/>
      <c r="P36" s="2"/>
      <c r="Q36" s="2"/>
      <c r="R36" s="2"/>
      <c r="S36" s="2"/>
      <c r="T36" s="2"/>
      <c r="U36" s="2"/>
      <c r="V36" s="2"/>
      <c r="W36" s="3" t="str">
        <f>CONCATENATE("var js",Table1[[#This Row],[IDs]]," = document.getElementbyId('",Table1[[#This Row],[IDs]],"').innerHTML; //  ",Table1[[#This Row],[Site]])</f>
        <v>var jsA21 = document.getElementbyId('A21').innerHTML; //  Army Fit</v>
      </c>
      <c r="X36" s="1" t="str">
        <f t="shared" si="2"/>
        <v xml:space="preserve">        &lt;!--Army Fit - https://armyfit.army.mil/  --&gt;&lt;div class='column catAll catCombatReadiness' style='margin-bottom: 0px;' id='A21'&gt;&lt;a href='https://armyfit.army.mil/ ' rel='noopener noreferrer' class='column hideMarquee'&gt;&lt;div class='armyCardContainer card'&gt;&lt;div class='armyCard'&gt;&lt;div&gt;&lt;p class='marquee'&gt;ArmyFit is a web-based application that stores, tracks, and integrates data from personal fitness devices and provides feedback so users can measure their progress toward fitness objectives.&lt;/p&gt;&lt;img src='assets/CaCRequired.png' title='A CAC is required to use some or all features of this site!' Class='cacLocked'&gt;&lt;img src='assets/Card-086.png' class='cardImage' loading='lazy'&gt;&lt;/div&gt;&lt;div class='title'&gt;
          &lt;span&gt;Army Fit&lt;/span&gt;&lt;/div&gt;&lt;/div&gt;&lt;/div&gt;&lt;/a&gt;&lt;/div&gt;&lt;script&gt;var jsA21 = document.getElementById('A21').innerHTML;&lt;/script&gt;</v>
      </c>
      <c r="Y3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Fit - https://armyfit.army.mil/  --&gt;
      &lt;summary&gt;• &lt;a href='https://armyfit.army.mil/ ' rel='noopener noreferrer'&gt;Army Fit - https://armyfit.army.mil/ &lt;/a&gt;&lt;/summary&gt;
      &lt;p&gt;ArmyFit is a web-based application that stores, tracks, and integrates data from personal fitness devices and provides feedback so users can measure their progress toward fitness objectives.&lt;/p&gt;
    &lt;/details&gt;</v>
      </c>
      <c r="Z36" s="1" t="str">
        <f t="shared" si="1"/>
        <v xml:space="preserve">          &lt;!-- Army Fit - https://armyfit.army.mil/  --&gt;&lt;div id='dragA21' class='catAll catCombatReadiness'&gt;&lt;div class='column hideMarquee' draggable='true' ondragstart='drag(event)' value='A21' id='A21'&gt;&lt;div class='armyCardContainer ssCard'&gt;&lt;div class='ssArmyCard'&gt;&lt;div&gt;&lt;p class='marquee'&gt;ArmyFit is a web-based application that stores, tracks, and integrates data from personal fitness devices and provides feedback so users can measure their progress toward fitness objectives.&lt;/p&gt;&lt;img src='assets/Card-086.png' class='ssCardImage' draggable='false' loading='lazy'&gt;&lt;/div&gt;&lt;div class='ssTitle'&gt;&lt;span id='A21Title'&gt;Army Fit&lt;/span&gt;&lt;/div&gt;&lt;/div&gt;&lt;/div&gt;&lt;/div&gt;&lt;/div&gt;&lt;script&gt;var jsA21 = document.getElementById('dragA21').innerHTML;&lt;/script&gt;</v>
      </c>
      <c r="AA36" s="1" t="str">
        <f>CONCATENATE("var js",Table1[[#This Row],[IDs]]," = document.getElementbyId('drag",Table1[[#This Row],[IDs]],"').innerHTML; //  ",Table1[[#This Row],[Site]])</f>
        <v>var jsA21 = document.getElementbyId('dragA21').innerHTML; //  Army Fit</v>
      </c>
    </row>
    <row r="37" spans="1:27" ht="15" x14ac:dyDescent="0.25">
      <c r="A37" t="s">
        <v>60</v>
      </c>
      <c r="B37" t="s">
        <v>60</v>
      </c>
      <c r="C37" s="2" t="s">
        <v>61</v>
      </c>
      <c r="D37" t="s">
        <v>605</v>
      </c>
      <c r="E37" t="s">
        <v>604</v>
      </c>
      <c r="F37" s="2" t="s">
        <v>81</v>
      </c>
      <c r="G37" s="2" t="s">
        <v>900</v>
      </c>
      <c r="H37" s="2" t="s">
        <v>900</v>
      </c>
      <c r="I37" s="2"/>
      <c r="J37" s="2"/>
      <c r="K37" s="2"/>
      <c r="L37" s="2" t="s">
        <v>18</v>
      </c>
      <c r="M37" s="2"/>
      <c r="N37" s="2"/>
      <c r="O37" s="2"/>
      <c r="P37" s="2"/>
      <c r="Q37" s="2"/>
      <c r="R37" s="2"/>
      <c r="S37" s="2"/>
      <c r="T37" s="2"/>
      <c r="U37" s="2"/>
      <c r="V37" s="2"/>
      <c r="W37" s="3" t="str">
        <f>CONCATENATE("var js",Table1[[#This Row],[IDs]]," = document.getElementbyId('",Table1[[#This Row],[IDs]],"').innerHTML; //  ",Table1[[#This Row],[Site]])</f>
        <v>var jsA22 = document.getElementbyId('A22').innerHTML; //  Army Housing Online User Services</v>
      </c>
      <c r="X37" s="1" t="str">
        <f t="shared" si="2"/>
        <v xml:space="preserve">        &lt;!--Army Housing Online User Services - https://www.housing.army.mil/ --&gt;&lt;div class='column catAll catFamily' style='margin-bottom: 0px;' id='A22'&gt;&lt;a href='https://www.housing.army.mil/' rel='noopener noreferrer' class='column hideMarquee'&gt;&lt;div class='armyCardContainer card'&gt;&lt;div class='armyCard'&gt;&lt;div&gt;&lt;p class='marquee'&gt;Army Housing Online User Services is the Army's official website for Soldiers and Families to look for information regarding Army Family Housing (Privatized &amp; Government Owned), Unaccompanied Housing (UH), or Off-Post Housing. It includes detailed reference information and quick links for Army installations all over the world. Inside you will find floorplans and housing policies that pertain to your next duty station.&lt;/p&gt;&lt;img src='assets/Card-069.png' class='cardImage' loading='lazy'&gt;&lt;/div&gt;&lt;div class='title'&gt;
          &lt;span&gt;Army Housing Online User Services&lt;/span&gt;&lt;/div&gt;&lt;/div&gt;&lt;/div&gt;&lt;/a&gt;&lt;/div&gt;&lt;script&gt;var jsA22 = document.getElementById('A22').innerHTML;&lt;/script&gt;</v>
      </c>
      <c r="Y3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Housing Online User Services - https://www.housing.army.mil/ --&gt;
      &lt;summary&gt;• &lt;a href='https://www.housing.army.mil/' rel='noopener noreferrer'&gt;Army Housing Online User Services - https://www.housing.army.mil/&lt;/a&gt;&lt;/summary&gt;
      &lt;p&gt;Army Housing Online User Services is the Army's official website for Soldiers and Families to look for information regarding Army Family Housing (Privatized &amp; Government Owned), Unaccompanied Housing (UH), or Off-Post Housing. It includes detailed reference information and quick links for Army installations all over the world. Inside you will find floorplans and housing policies that pertain to your next duty station.&lt;/p&gt;
    &lt;/details&gt;</v>
      </c>
      <c r="Z37" s="1" t="str">
        <f t="shared" si="1"/>
        <v xml:space="preserve">          &lt;!-- Army Housing Online User Services - https://www.housing.army.mil/ --&gt;&lt;div id='dragA22' class='catAll catFamily'&gt;&lt;div class='column hideMarquee' draggable='true' ondragstart='drag(event)' value='A22' id='A22'&gt;&lt;div class='armyCardContainer ssCard'&gt;&lt;div class='ssArmyCard'&gt;&lt;div&gt;&lt;p class='marquee'&gt;Army Housing Online User Services is the Army's official website for Soldiers and Families to look for information regarding Army Family Housing (Privatized &amp; Government Owned), Unaccompanied Housing (UH), or Off-Post Housing. It includes detailed reference information and quick links for Army installations all over the world. Inside you will find floorplans and housing policies that pertain to your next duty station.&lt;/p&gt;&lt;img src='assets/Card-069.png' class='ssCardImage' draggable='false' loading='lazy'&gt;&lt;/div&gt;&lt;div class='ssTitle'&gt;&lt;span id='A22Title'&gt;Army Housing Online User Services&lt;/span&gt;&lt;/div&gt;&lt;/div&gt;&lt;/div&gt;&lt;/div&gt;&lt;/div&gt;&lt;script&gt;var jsA22 = document.getElementById('dragA22').innerHTML;&lt;/script&gt;</v>
      </c>
      <c r="AA37" s="1" t="str">
        <f>CONCATENATE("var js",Table1[[#This Row],[IDs]]," = document.getElementbyId('drag",Table1[[#This Row],[IDs]],"').innerHTML; //  ",Table1[[#This Row],[Site]])</f>
        <v>var jsA22 = document.getElementbyId('dragA22').innerHTML; //  Army Housing Online User Services</v>
      </c>
    </row>
    <row r="38" spans="1:27" ht="15" x14ac:dyDescent="0.25">
      <c r="A38" t="s">
        <v>63</v>
      </c>
      <c r="B38" t="s">
        <v>63</v>
      </c>
      <c r="C38" s="2" t="s">
        <v>64</v>
      </c>
      <c r="D38" t="s">
        <v>606</v>
      </c>
      <c r="E38" t="s">
        <v>607</v>
      </c>
      <c r="F38" s="2" t="s">
        <v>79</v>
      </c>
      <c r="G38" s="2" t="s">
        <v>900</v>
      </c>
      <c r="H38" s="2" t="s">
        <v>552</v>
      </c>
      <c r="I38" s="2"/>
      <c r="J38" s="2"/>
      <c r="K38" s="2"/>
      <c r="L38" s="2"/>
      <c r="M38" s="2"/>
      <c r="N38" s="2"/>
      <c r="O38" s="2" t="s">
        <v>18</v>
      </c>
      <c r="P38" s="2"/>
      <c r="Q38" s="2"/>
      <c r="R38" s="2"/>
      <c r="S38" s="2"/>
      <c r="T38" s="2"/>
      <c r="U38" s="2"/>
      <c r="V38" s="2"/>
      <c r="W38" s="3" t="str">
        <f>CONCATENATE("var js",Table1[[#This Row],[IDs]]," = document.getElementbyId('",Table1[[#This Row],[IDs]],"').innerHTML; //  ",Table1[[#This Row],[Site]])</f>
        <v>var jsA23 = document.getElementbyId('A23').innerHTML; //  Army Human Resources Command</v>
      </c>
      <c r="X38" s="1" t="str">
        <f t="shared" si="2"/>
        <v xml:space="preserve">        &lt;!--Army Human Resources Command - https://www.hrc.army.mil/ --&gt;&lt;div class='column catAll catHuman' style='margin-bottom: 0px;' id='A23'&gt;&lt;a href='https://www.hrc.army.mil/' rel='noopener noreferrer' class='column hideMarquee'&gt;&lt;div class='armyCardContainer card'&gt;&lt;div class='armyCard'&gt;&lt;div&gt;&lt;p class='marquee'&gt;Army Human Resources Command is responsible for U.S. Army Human Resources programs, processes, and services. The advantage of the combined Human Resources Command is that it enables every soldier in the U.S. Army to manage their entire career from basic training until retirement and later through one office. Most HR related links can be found scattered across their site as well as current and past milper messages.&lt;/p&gt;&lt;img src='assets/CaCRequired.png' title='A CAC is required to use some or all features of this site!' Class='cacLocked'&gt;&lt;img src='assets/Card-060.png' class='cardImage' loading='lazy'&gt;&lt;/div&gt;&lt;div class='title'&gt;
          &lt;span&gt;Army Human Resources Command&lt;/span&gt;&lt;/div&gt;&lt;/div&gt;&lt;/div&gt;&lt;/a&gt;&lt;/div&gt;&lt;script&gt;var jsA23 = document.getElementById('A23').innerHTML;&lt;/script&gt;</v>
      </c>
      <c r="Y3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Human Resources Command - https://www.hrc.army.mil/ --&gt;
      &lt;summary&gt;• &lt;a href='https://www.hrc.army.mil/' rel='noopener noreferrer'&gt;Army Human Resources Command - https://www.hrc.army.mil/&lt;/a&gt;&lt;/summary&gt;
      &lt;p&gt;Army Human Resources Command is responsible for U.S. Army Human Resources programs, processes, and services. The advantage of the combined Human Resources Command is that it enables every soldier in the U.S. Army to manage their entire career from basic training until retirement and later through one office. Most HR related links can be found scattered across their site as well as current and past milper messages.&lt;/p&gt;
    &lt;/details&gt;</v>
      </c>
      <c r="Z38" s="1" t="str">
        <f t="shared" si="1"/>
        <v xml:space="preserve">          &lt;!-- Army Human Resources Command - https://www.hrc.army.mil/ --&gt;&lt;div id='dragA23' class='catAll catHuman'&gt;&lt;div class='column hideMarquee' draggable='true' ondragstart='drag(event)' value='A23' id='A23'&gt;&lt;div class='armyCardContainer ssCard'&gt;&lt;div class='ssArmyCard'&gt;&lt;div&gt;&lt;p class='marquee'&gt;Army Human Resources Command is responsible for U.S. Army Human Resources programs, processes, and services. The advantage of the combined Human Resources Command is that it enables every soldier in the U.S. Army to manage their entire career from basic training until retirement and later through one office. Most HR related links can be found scattered across their site as well as current and past milper messages.&lt;/p&gt;&lt;img src='assets/Card-060.png' class='ssCardImage' draggable='false' loading='lazy'&gt;&lt;/div&gt;&lt;div class='ssTitle'&gt;&lt;span id='A23Title'&gt;Army Human Resources Command&lt;/span&gt;&lt;/div&gt;&lt;/div&gt;&lt;/div&gt;&lt;/div&gt;&lt;/div&gt;&lt;script&gt;var jsA23 = document.getElementById('dragA23').innerHTML;&lt;/script&gt;</v>
      </c>
      <c r="AA38" s="1" t="str">
        <f>CONCATENATE("var js",Table1[[#This Row],[IDs]]," = document.getElementbyId('drag",Table1[[#This Row],[IDs]],"').innerHTML; //  ",Table1[[#This Row],[Site]])</f>
        <v>var jsA23 = document.getElementbyId('dragA23').innerHTML; //  Army Human Resources Command</v>
      </c>
    </row>
    <row r="39" spans="1:27" ht="15" x14ac:dyDescent="0.25">
      <c r="A39" t="s">
        <v>66</v>
      </c>
      <c r="B39" t="s">
        <v>66</v>
      </c>
      <c r="C39" s="10" t="s">
        <v>67</v>
      </c>
      <c r="D39" t="s">
        <v>609</v>
      </c>
      <c r="E39" t="s">
        <v>608</v>
      </c>
      <c r="F39" s="2" t="s">
        <v>84</v>
      </c>
      <c r="G39" s="2" t="s">
        <v>900</v>
      </c>
      <c r="H39" s="2" t="s">
        <v>552</v>
      </c>
      <c r="I39" s="2" t="s">
        <v>18</v>
      </c>
      <c r="J39" s="2"/>
      <c r="K39" s="2"/>
      <c r="L39" s="2"/>
      <c r="M39" s="2"/>
      <c r="N39" s="2"/>
      <c r="O39" s="2"/>
      <c r="P39" s="2"/>
      <c r="Q39" s="2"/>
      <c r="R39" s="2"/>
      <c r="S39" s="2"/>
      <c r="T39" s="2"/>
      <c r="U39" s="2"/>
      <c r="V39" s="2"/>
      <c r="W39" s="3" t="str">
        <f>CONCATENATE("var js",Table1[[#This Row],[IDs]]," = document.getElementbyId('",Table1[[#This Row],[IDs]],"').innerHTML; //  ",Table1[[#This Row],[Site]])</f>
        <v>var jsA24 = document.getElementbyId('A24').innerHTML; //  Army Ideas for Innovation (AI2)</v>
      </c>
      <c r="X39" s="1" t="str">
        <f t="shared" si="2"/>
        <v xml:space="preserve">        &lt;!--Army Ideas for Innovation (AI2) - https://www.milsuite.mil/book/community/spaces/ai2 --&gt;&lt;div class='column catAll catArmySites' style='margin-bottom: 0px;' id='A24'&gt;&lt;a href='https://www.milsuite.mil/book/community/spaces/ai2' rel='noopener noreferrer' class='column hideMarquee'&gt;&lt;div class='armyCardContainer card'&gt;&lt;div class='armyCard'&gt;&lt;div&gt;&lt;p class='marquee'&gt;The Army Ideas for Innovation (AI2) is a venue for Army Soldiers and civilians to share innovative ideas and creative solutions that positively affect the Army through cost savings, increased productivity, and process improvement.&lt;/p&gt;&lt;img src='assets/CaCRequired.png' title='A CAC is required to use some or all features of this site!' Class='cacLocked'&gt;&lt;img src='assets/Card-058.png' class='cardImage' loading='lazy'&gt;&lt;/div&gt;&lt;div class='title'&gt;
          &lt;span&gt;Army Ideas for Innovation (AI2)&lt;/span&gt;&lt;/div&gt;&lt;/div&gt;&lt;/div&gt;&lt;/a&gt;&lt;/div&gt;&lt;script&gt;var jsA24 = document.getElementById('A24').innerHTML;&lt;/script&gt;</v>
      </c>
      <c r="Y3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Ideas for Innovation (AI2) - https://www.milsuite.mil/book/community/spaces/ai2 --&gt;
      &lt;summary&gt;• &lt;a href='https://www.milsuite.mil/book/community/spaces/ai2' rel='noopener noreferrer'&gt;Army Ideas for Innovation (AI2) - https://www.milsuite.mil/book/community/spaces/ai2&lt;/a&gt;&lt;/summary&gt;
      &lt;p&gt;The Army Ideas for Innovation (AI2) is a venue for Army Soldiers and civilians to share innovative ideas and creative solutions that positively affect the Army through cost savings, increased productivity, and process improvement.&lt;/p&gt;
    &lt;/details&gt;</v>
      </c>
      <c r="Z39" s="1" t="str">
        <f t="shared" si="1"/>
        <v xml:space="preserve">          &lt;!-- Army Ideas for Innovation (AI2) - https://www.milsuite.mil/book/community/spaces/ai2 --&gt;&lt;div id='dragA24' class='catAll catArmySites'&gt;&lt;div class='column hideMarquee' draggable='true' ondragstart='drag(event)' value='A24' id='A24'&gt;&lt;div class='armyCardContainer ssCard'&gt;&lt;div class='ssArmyCard'&gt;&lt;div&gt;&lt;p class='marquee'&gt;The Army Ideas for Innovation (AI2) is a venue for Army Soldiers and civilians to share innovative ideas and creative solutions that positively affect the Army through cost savings, increased productivity, and process improvement.&lt;/p&gt;&lt;img src='assets/Card-058.png' class='ssCardImage' draggable='false' loading='lazy'&gt;&lt;/div&gt;&lt;div class='ssTitle'&gt;&lt;span id='A24Title'&gt;Army Ideas for Innovation (AI2)&lt;/span&gt;&lt;/div&gt;&lt;/div&gt;&lt;/div&gt;&lt;/div&gt;&lt;/div&gt;&lt;script&gt;var jsA24 = document.getElementById('dragA24').innerHTML;&lt;/script&gt;</v>
      </c>
      <c r="AA39" s="1" t="str">
        <f>CONCATENATE("var js",Table1[[#This Row],[IDs]]," = document.getElementbyId('drag",Table1[[#This Row],[IDs]],"').innerHTML; //  ",Table1[[#This Row],[Site]])</f>
        <v>var jsA24 = document.getElementbyId('dragA24').innerHTML; //  Army Ideas for Innovation (AI2)</v>
      </c>
    </row>
    <row r="40" spans="1:27" ht="15" x14ac:dyDescent="0.25">
      <c r="A40" t="s">
        <v>69</v>
      </c>
      <c r="B40" t="s">
        <v>69</v>
      </c>
      <c r="C40" s="2" t="s">
        <v>70</v>
      </c>
      <c r="D40" t="s">
        <v>611</v>
      </c>
      <c r="E40" t="s">
        <v>610</v>
      </c>
      <c r="F40" s="2" t="s">
        <v>87</v>
      </c>
      <c r="G40" s="2" t="s">
        <v>900</v>
      </c>
      <c r="H40" s="2" t="s">
        <v>552</v>
      </c>
      <c r="I40" s="2"/>
      <c r="J40" s="2"/>
      <c r="K40" s="2"/>
      <c r="L40" s="2"/>
      <c r="M40" s="2"/>
      <c r="N40" s="2"/>
      <c r="O40" s="2"/>
      <c r="P40" s="2"/>
      <c r="Q40" s="2"/>
      <c r="R40" s="2"/>
      <c r="S40" s="2" t="s">
        <v>18</v>
      </c>
      <c r="T40" s="2"/>
      <c r="U40" s="2"/>
      <c r="V40" s="2"/>
      <c r="W40" s="3" t="str">
        <f>CONCATENATE("var js",Table1[[#This Row],[IDs]]," = document.getElementbyId('",Table1[[#This Row],[IDs]],"').innerHTML; //  ",Table1[[#This Row],[Site]])</f>
        <v>var jsA25 = document.getElementbyId('A25').innerHTML; //  Army Learning Management System (ALMS)</v>
      </c>
      <c r="X40" s="1" t="str">
        <f t="shared" si="2"/>
        <v xml:space="preserve">        &lt;!--Army Learning Management System (ALMS) - https://www.lms.army.mil/ --&gt;&lt;div class='column catAll catMilEd' style='margin-bottom: 0px;' id='A25'&gt;&lt;a href='https://www.lms.army.mil/' rel='noopener noreferrer' class='column hideMarquee'&gt;&lt;div class='armyCardContainer card'&gt;&lt;div class='armyCard'&gt;&lt;div&gt;&lt;p class='marquee'&gt;The Army Learning Management System (ALMS) is an online training and education system for Soldiers and civilians. Through U.S. Army Training and Doctrine Command’s Combined Arms Center - Training, the ALMS increases readiness and provides training flexibility. Soldiers can achieve many training objectives online.&lt;/p&gt;&lt;img src='assets/CaCRequired.png' title='A CAC is required to use some or all features of this site!' Class='cacLocked'&gt;&lt;img src='assets/Card-062.png' class='cardImage' loading='lazy'&gt;&lt;/div&gt;&lt;div class='title'&gt;
          &lt;span&gt;Army Learning Management System (ALMS)&lt;/span&gt;&lt;/div&gt;&lt;/div&gt;&lt;/div&gt;&lt;/a&gt;&lt;/div&gt;&lt;script&gt;var jsA25 = document.getElementById('A25').innerHTML;&lt;/script&gt;</v>
      </c>
      <c r="Y4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Learning Management System (ALMS) - https://www.lms.army.mil/ --&gt;
      &lt;summary&gt;• &lt;a href='https://www.lms.army.mil/' rel='noopener noreferrer'&gt;Army Learning Management System (ALMS) - https://www.lms.army.mil/&lt;/a&gt;&lt;/summary&gt;
      &lt;p&gt;The Army Learning Management System (ALMS) is an online training and education system for Soldiers and civilians. Through U.S. Army Training and Doctrine Command’s Combined Arms Center - Training, the ALMS increases readiness and provides training flexibility. Soldiers can achieve many training objectives online.&lt;/p&gt;
    &lt;/details&gt;</v>
      </c>
      <c r="Z40" s="1" t="str">
        <f t="shared" si="1"/>
        <v xml:space="preserve">          &lt;!-- Army Learning Management System (ALMS) - https://www.lms.army.mil/ --&gt;&lt;div id='dragA25' class='catAll catMilEd'&gt;&lt;div class='column hideMarquee' draggable='true' ondragstart='drag(event)' value='A25' id='A25'&gt;&lt;div class='armyCardContainer ssCard'&gt;&lt;div class='ssArmyCard'&gt;&lt;div&gt;&lt;p class='marquee'&gt;The Army Learning Management System (ALMS) is an online training and education system for Soldiers and civilians. Through U.S. Army Training and Doctrine Command’s Combined Arms Center - Training, the ALMS increases readiness and provides training flexibility. Soldiers can achieve many training objectives online.&lt;/p&gt;&lt;img src='assets/Card-062.png' class='ssCardImage' draggable='false' loading='lazy'&gt;&lt;/div&gt;&lt;div class='ssTitle'&gt;&lt;span id='A25Title'&gt;Army Learning Management System (ALMS)&lt;/span&gt;&lt;/div&gt;&lt;/div&gt;&lt;/div&gt;&lt;/div&gt;&lt;/div&gt;&lt;script&gt;var jsA25 = document.getElementById('dragA25').innerHTML;&lt;/script&gt;</v>
      </c>
      <c r="AA40" s="1" t="str">
        <f>CONCATENATE("var js",Table1[[#This Row],[IDs]]," = document.getElementbyId('drag",Table1[[#This Row],[IDs]],"').innerHTML; //  ",Table1[[#This Row],[Site]])</f>
        <v>var jsA25 = document.getElementbyId('dragA25').innerHTML; //  Army Learning Management System (ALMS)</v>
      </c>
    </row>
    <row r="41" spans="1:27" ht="15" x14ac:dyDescent="0.25">
      <c r="A41" t="s">
        <v>72</v>
      </c>
      <c r="B41" t="s">
        <v>72</v>
      </c>
      <c r="C41" s="10" t="s">
        <v>73</v>
      </c>
      <c r="D41" t="s">
        <v>614</v>
      </c>
      <c r="E41" t="s">
        <v>612</v>
      </c>
      <c r="F41" s="2" t="s">
        <v>88</v>
      </c>
      <c r="G41" s="2" t="s">
        <v>900</v>
      </c>
      <c r="H41" s="2" t="s">
        <v>552</v>
      </c>
      <c r="I41" s="2" t="s">
        <v>18</v>
      </c>
      <c r="J41" s="2"/>
      <c r="K41" s="2"/>
      <c r="L41" s="2"/>
      <c r="M41" s="2"/>
      <c r="N41" s="2"/>
      <c r="O41" s="2"/>
      <c r="P41" s="2"/>
      <c r="Q41" s="2"/>
      <c r="R41" s="2"/>
      <c r="S41" s="2"/>
      <c r="T41" s="2"/>
      <c r="U41" s="2"/>
      <c r="V41" s="2"/>
      <c r="W41" s="3" t="str">
        <f>CONCATENATE("var js",Table1[[#This Row],[IDs]]," = document.getElementbyId('",Table1[[#This Row],[IDs]],"').innerHTML; //  ",Table1[[#This Row],[Site]])</f>
        <v>var jsA26 = document.getElementbyId('A26').innerHTML; //  Army Maintenance Application (ArMA)</v>
      </c>
      <c r="X41" s="1" t="str">
        <f t="shared" si="2"/>
        <v xml:space="preserve">        &lt;!--Army Maintenance Application (ArMA) - https://www.armymaintenance.com/arma --&gt;&lt;div class='column catAll catArmySites' style='margin-bottom: 0px;' id='A26'&gt;&lt;a href='https://www.armymaintenance.com/arma' rel='noopener noreferrer' class='column hideMarquee'&gt;&lt;div class='armyCardContainer card'&gt;&lt;div class='armyCard'&gt;&lt;div&gt;&lt;p class='marquee'&gt;The Army Maintenance Application (ArMA), allows Soldiers and their families to instantly interact with public works clerks to submit work orders instead of making walk-in appointments or phone calls.&lt;/p&gt;&lt;img src='assets/CaCRequired.png' title='A CAC is required to use some or all features of this site!' Class='cacLocked'&gt;&lt;img src='assets/Card-094.png' class='cardImage' loading='lazy'&gt;&lt;/div&gt;&lt;div class='title'&gt;
          &lt;span&gt;Army Maintenance Application (ArMA)&lt;/span&gt;&lt;/div&gt;&lt;/div&gt;&lt;/div&gt;&lt;/a&gt;&lt;/div&gt;&lt;script&gt;var jsA26 = document.getElementById('A26').innerHTML;&lt;/script&gt;</v>
      </c>
      <c r="Y4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Maintenance Application (ArMA) - https://www.armymaintenance.com/arma --&gt;
      &lt;summary&gt;• &lt;a href='https://www.armymaintenance.com/arma' rel='noopener noreferrer'&gt;Army Maintenance Application (ArMA) - https://www.armymaintenance.com/arma&lt;/a&gt;&lt;/summary&gt;
      &lt;p&gt;The Army Maintenance Application (ArMA), allows Soldiers and their families to instantly interact with public works clerks to submit work orders instead of making walk-in appointments or phone calls.&lt;/p&gt;
    &lt;/details&gt;</v>
      </c>
      <c r="Z41" s="1" t="str">
        <f t="shared" si="1"/>
        <v xml:space="preserve">          &lt;!-- Army Maintenance Application (ArMA) - https://www.armymaintenance.com/arma --&gt;&lt;div id='dragA26' class='catAll catArmySites'&gt;&lt;div class='column hideMarquee' draggable='true' ondragstart='drag(event)' value='A26' id='A26'&gt;&lt;div class='armyCardContainer ssCard'&gt;&lt;div class='ssArmyCard'&gt;&lt;div&gt;&lt;p class='marquee'&gt;The Army Maintenance Application (ArMA), allows Soldiers and their families to instantly interact with public works clerks to submit work orders instead of making walk-in appointments or phone calls.&lt;/p&gt;&lt;img src='assets/Card-094.png' class='ssCardImage' draggable='false' loading='lazy'&gt;&lt;/div&gt;&lt;div class='ssTitle'&gt;&lt;span id='A26Title'&gt;Army Maintenance Application (ArMA)&lt;/span&gt;&lt;/div&gt;&lt;/div&gt;&lt;/div&gt;&lt;/div&gt;&lt;/div&gt;&lt;script&gt;var jsA26 = document.getElementById('dragA26').innerHTML;&lt;/script&gt;</v>
      </c>
      <c r="AA41" s="1" t="str">
        <f>CONCATENATE("var js",Table1[[#This Row],[IDs]]," = document.getElementbyId('drag",Table1[[#This Row],[IDs]],"').innerHTML; //  ",Table1[[#This Row],[Site]])</f>
        <v>var jsA26 = document.getElementbyId('dragA26').innerHTML; //  Army Maintenance Application (ArMA)</v>
      </c>
    </row>
    <row r="42" spans="1:27" ht="15" x14ac:dyDescent="0.25">
      <c r="A42" t="s">
        <v>75</v>
      </c>
      <c r="B42" t="s">
        <v>75</v>
      </c>
      <c r="C42" s="10" t="s">
        <v>507</v>
      </c>
      <c r="D42" t="s">
        <v>613</v>
      </c>
      <c r="E42" t="s">
        <v>615</v>
      </c>
      <c r="F42" s="2" t="s">
        <v>91</v>
      </c>
      <c r="G42" s="2" t="s">
        <v>900</v>
      </c>
      <c r="H42" s="2" t="s">
        <v>552</v>
      </c>
      <c r="I42" s="2"/>
      <c r="J42" s="2"/>
      <c r="K42" s="2"/>
      <c r="L42" s="2"/>
      <c r="M42" s="2"/>
      <c r="N42" s="2"/>
      <c r="O42" s="2"/>
      <c r="P42" s="2"/>
      <c r="Q42" s="2" t="s">
        <v>18</v>
      </c>
      <c r="R42" s="2"/>
      <c r="S42" s="2"/>
      <c r="T42" s="2"/>
      <c r="U42" s="2"/>
      <c r="V42" s="2"/>
      <c r="W42" s="3" t="str">
        <f>CONCATENATE("var js",Table1[[#This Row],[IDs]]," = document.getElementbyId('",Table1[[#This Row],[IDs]],"').innerHTML; //  ",Table1[[#This Row],[Site]])</f>
        <v>var jsA27 = document.getElementbyId('A27').innerHTML; //  Army National Guard GI Personnel Gateway</v>
      </c>
      <c r="X42" s="1" t="str">
        <f t="shared" si="2"/>
        <v xml:space="preserve">        &lt;!--Army National Guard GI Personnel Gateway - https://arngg1.ngb.army.mil/v3/SelfService/CareerCenter/Home.aspx --&gt;&lt;div class='column catAll catProDev' style='margin-bottom: 0px;' id='A27'&gt;&lt;a href='https://arngg1.ngb.army.mil/v3/SelfService/CareerCenter/Home.aspx' rel='noopener noreferrer' class='column hideMarquee'&gt;&lt;div class='armyCardContainer card'&gt;&lt;div class='armyCard'&gt;&lt;div&gt;&lt;p class='marquee'&gt;The Army National Guard G1 Personnel Gateway is a one-stop shop for human resource information. For Guard Soldiers and Families, the Gateway provides information on medical, educational and financial programs and benefits. The site also features deployment support and readiness resources.&lt;/p&gt;&lt;img src='assets/CaCRequired.png' title='A CAC is required to use some or all features of this site!' Class='cacLocked'&gt;&lt;img src='assets/Card-013.png' class='cardImage' loading='lazy'&gt;&lt;/div&gt;&lt;div class='title'&gt;
          &lt;span&gt;Army National Guard GI Personnel Gateway&lt;/span&gt;&lt;/div&gt;&lt;/div&gt;&lt;/div&gt;&lt;/a&gt;&lt;/div&gt;&lt;script&gt;var jsA27 = document.getElementById('A27').innerHTML;&lt;/script&gt;</v>
      </c>
      <c r="Y4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National Guard GI Personnel Gateway - https://arngg1.ngb.army.mil/v3/SelfService/CareerCenter/Home.aspx --&gt;
      &lt;summary&gt;• &lt;a href='https://arngg1.ngb.army.mil/v3/SelfService/CareerCenter/Home.aspx' rel='noopener noreferrer'&gt;Army National Guard GI Personnel Gateway - https://arngg1.ngb.army.mil/v3/SelfService/CareerCenter/Home.aspx&lt;/a&gt;&lt;/summary&gt;
      &lt;p&gt;The Army National Guard G1 Personnel Gateway is a one-stop shop for human resource information. For Guard Soldiers and Families, the Gateway provides information on medical, educational and financial programs and benefits. The site also features deployment support and readiness resources.&lt;/p&gt;
    &lt;/details&gt;</v>
      </c>
      <c r="Z42" s="1" t="str">
        <f t="shared" si="1"/>
        <v xml:space="preserve">          &lt;!-- Army National Guard GI Personnel Gateway - https://arngg1.ngb.army.mil/v3/SelfService/CareerCenter/Home.aspx --&gt;&lt;div id='dragA27' class='catAll catProDev'&gt;&lt;div class='column hideMarquee' draggable='true' ondragstart='drag(event)' value='A27' id='A27'&gt;&lt;div class='armyCardContainer ssCard'&gt;&lt;div class='ssArmyCard'&gt;&lt;div&gt;&lt;p class='marquee'&gt;The Army National Guard G1 Personnel Gateway is a one-stop shop for human resource information. For Guard Soldiers and Families, the Gateway provides information on medical, educational and financial programs and benefits. The site also features deployment support and readiness resources.&lt;/p&gt;&lt;img src='assets/Card-013.png' class='ssCardImage' draggable='false' loading='lazy'&gt;&lt;/div&gt;&lt;div class='ssTitle'&gt;&lt;span id='A27Title'&gt;Army National Guard GI Personnel Gateway&lt;/span&gt;&lt;/div&gt;&lt;/div&gt;&lt;/div&gt;&lt;/div&gt;&lt;/div&gt;&lt;script&gt;var jsA27 = document.getElementById('dragA27').innerHTML;&lt;/script&gt;</v>
      </c>
      <c r="AA42" s="1" t="str">
        <f>CONCATENATE("var js",Table1[[#This Row],[IDs]]," = document.getElementbyId('drag",Table1[[#This Row],[IDs]],"').innerHTML; //  ",Table1[[#This Row],[Site]])</f>
        <v>var jsA27 = document.getElementbyId('dragA27').innerHTML; //  Army National Guard GI Personnel Gateway</v>
      </c>
    </row>
    <row r="43" spans="1:27" ht="15" x14ac:dyDescent="0.25">
      <c r="A43" t="s">
        <v>77</v>
      </c>
      <c r="B43" t="s">
        <v>77</v>
      </c>
      <c r="C43" s="2" t="s">
        <v>78</v>
      </c>
      <c r="D43" t="s">
        <v>617</v>
      </c>
      <c r="E43" t="s">
        <v>616</v>
      </c>
      <c r="F43" s="2" t="s">
        <v>94</v>
      </c>
      <c r="G43" s="2" t="s">
        <v>900</v>
      </c>
      <c r="H43" s="2" t="s">
        <v>900</v>
      </c>
      <c r="I43" s="2"/>
      <c r="J43" s="2"/>
      <c r="K43" s="2"/>
      <c r="L43" s="2"/>
      <c r="M43" s="2"/>
      <c r="N43" s="2" t="s">
        <v>18</v>
      </c>
      <c r="O43" s="2"/>
      <c r="P43" s="2"/>
      <c r="Q43" s="2"/>
      <c r="R43" s="2"/>
      <c r="S43" s="2"/>
      <c r="T43" s="2"/>
      <c r="U43" s="2"/>
      <c r="V43" s="2"/>
      <c r="W43" s="3" t="str">
        <f>CONCATENATE("var js",Table1[[#This Row],[IDs]]," = document.getElementbyId('",Table1[[#This Row],[IDs]],"').innerHTML; //  ",Table1[[#This Row],[Site]])</f>
        <v>var jsA28 = document.getElementbyId('A28').innerHTML; //  Army Public Health Center</v>
      </c>
      <c r="X43" s="1" t="str">
        <f t="shared" si="2"/>
        <v xml:space="preserve">        &lt;!--Army Public Health Center - https://phc.amedd.army.mil/Pages/default.aspx/ --&gt;&lt;div class='column catAll catHealth' style='margin-bottom: 0px;' id='A28'&gt;&lt;a href='https://phc.amedd.army.mil/Pages/default.aspx/' rel='noopener noreferrer' class='column hideMarquee'&gt;&lt;div class='armyCardContainer card'&gt;&lt;div class='armyCard'&gt;&lt;div&gt;&lt;p class='marquee'&gt;The Army Public Health Center enhances Army readiness by identifying and assessing current and emerging health threats, developing and communicating public health solutions, and assuring the quality and effectiveness of the Army's Public Health Enterprise.&lt;/p&gt;&lt;img src='assets/Card-057.png' class='cardImage' loading='lazy'&gt;&lt;/div&gt;&lt;div class='title'&gt;
          &lt;span&gt;Army Public Health Center&lt;/span&gt;&lt;/div&gt;&lt;/div&gt;&lt;/div&gt;&lt;/a&gt;&lt;/div&gt;&lt;script&gt;var jsA28 = document.getElementById('A28').innerHTML;&lt;/script&gt;</v>
      </c>
      <c r="Y4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Public Health Center - https://phc.amedd.army.mil/Pages/default.aspx/ --&gt;
      &lt;summary&gt;• &lt;a href='https://phc.amedd.army.mil/Pages/default.aspx/' rel='noopener noreferrer'&gt;Army Public Health Center - https://phc.amedd.army.mil/Pages/default.aspx/&lt;/a&gt;&lt;/summary&gt;
      &lt;p&gt;The Army Public Health Center enhances Army readiness by identifying and assessing current and emerging health threats, developing and communicating public health solutions, and assuring the quality and effectiveness of the Army's Public Health Enterprise.&lt;/p&gt;
    &lt;/details&gt;</v>
      </c>
      <c r="Z43" s="1" t="str">
        <f t="shared" si="1"/>
        <v xml:space="preserve">          &lt;!-- Army Public Health Center - https://phc.amedd.army.mil/Pages/default.aspx/ --&gt;&lt;div id='dragA28' class='catAll catHealth'&gt;&lt;div class='column hideMarquee' draggable='true' ondragstart='drag(event)' value='A28' id='A28'&gt;&lt;div class='armyCardContainer ssCard'&gt;&lt;div class='ssArmyCard'&gt;&lt;div&gt;&lt;p class='marquee'&gt;The Army Public Health Center enhances Army readiness by identifying and assessing current and emerging health threats, developing and communicating public health solutions, and assuring the quality and effectiveness of the Army's Public Health Enterprise.&lt;/p&gt;&lt;img src='assets/Card-057.png' class='ssCardImage' draggable='false' loading='lazy'&gt;&lt;/div&gt;&lt;div class='ssTitle'&gt;&lt;span id='A28Title'&gt;Army Public Health Center&lt;/span&gt;&lt;/div&gt;&lt;/div&gt;&lt;/div&gt;&lt;/div&gt;&lt;/div&gt;&lt;script&gt;var jsA28 = document.getElementById('dragA28').innerHTML;&lt;/script&gt;</v>
      </c>
      <c r="AA43" s="1" t="str">
        <f>CONCATENATE("var js",Table1[[#This Row],[IDs]]," = document.getElementbyId('drag",Table1[[#This Row],[IDs]],"').innerHTML; //  ",Table1[[#This Row],[Site]])</f>
        <v>var jsA28 = document.getElementbyId('dragA28').innerHTML; //  Army Public Health Center</v>
      </c>
    </row>
    <row r="44" spans="1:27" ht="15" x14ac:dyDescent="0.25">
      <c r="A44" s="1" t="s">
        <v>923</v>
      </c>
      <c r="B44" s="1" t="s">
        <v>923</v>
      </c>
      <c r="C44" s="2" t="s">
        <v>80</v>
      </c>
      <c r="D44" t="s">
        <v>619</v>
      </c>
      <c r="E44" s="1" t="s">
        <v>618</v>
      </c>
      <c r="F44" s="2" t="s">
        <v>97</v>
      </c>
      <c r="G44" s="2" t="s">
        <v>900</v>
      </c>
      <c r="H44" s="2" t="s">
        <v>552</v>
      </c>
      <c r="I44" s="2" t="s">
        <v>18</v>
      </c>
      <c r="J44" s="2"/>
      <c r="K44" s="2"/>
      <c r="L44" s="2"/>
      <c r="M44" s="2"/>
      <c r="N44" s="2"/>
      <c r="O44" s="2" t="s">
        <v>18</v>
      </c>
      <c r="P44" s="2"/>
      <c r="Q44" s="2"/>
      <c r="R44" s="2"/>
      <c r="S44" s="2"/>
      <c r="T44" s="2"/>
      <c r="U44" s="2"/>
      <c r="V44" s="2"/>
      <c r="W44" s="3" t="str">
        <f>CONCATENATE("var js",Table1[[#This Row],[IDs]]," = document.getElementbyId('",Table1[[#This Row],[IDs]],"').innerHTML; //  ",Table1[[#This Row],[Site]])</f>
        <v>var jsA29 = document.getElementbyId('A29').innerHTML; //  Army Publication Directorate</v>
      </c>
      <c r="X44" s="1" t="str">
        <f t="shared" si="2"/>
        <v xml:space="preserve">        &lt;!--Army Publication Directorate - https://armypubs.army.mil/  --&gt;&lt;div class='column catAll catArmySites catHuman' style='margin-bottom: 0px;' id='A29'&gt;&lt;a href='https://armypubs.army.mil/ ' rel='noopener noreferrer' class='column hideMarquee'&gt;&lt;div class='armyCardContainer card'&gt;&lt;div class='armyCard'&gt;&lt;div&gt;&lt;p class='marquee'&gt;Army Publication Directorate is an online repository for all current Army Regulations, Directives, Policy and Guidance.&lt;/p&gt;&lt;img src='assets/CaCRequired.png' title='A CAC is required to use some or all features of this site!' Class='cacLocked'&gt;&lt;img src='assets/Card-018.png' class='cardImage' loading='lazy'&gt;&lt;/div&gt;&lt;div class='title'&gt;
          &lt;span&gt;Army Publication Directorate&lt;/span&gt;&lt;/div&gt;&lt;/div&gt;&lt;/div&gt;&lt;/a&gt;&lt;/div&gt;&lt;script&gt;var jsA29 = document.getElementById('A29').innerHTML;&lt;/script&gt;</v>
      </c>
      <c r="Y4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Publication Directorate - https://armypubs.army.mil/  --&gt;
      &lt;summary&gt;• &lt;a href='https://armypubs.army.mil/ ' rel='noopener noreferrer'&gt;Army Publication Directorate - https://armypubs.army.mil/ &lt;/a&gt;&lt;/summary&gt;
      &lt;p&gt;Army Publication Directorate is an online repository for all current Army Regulations, Directives, Policy and Guidance.&lt;/p&gt;
    &lt;/details&gt;</v>
      </c>
      <c r="Z44" s="1" t="str">
        <f t="shared" si="1"/>
        <v xml:space="preserve">          &lt;!-- Army Publication Directorate - https://armypubs.army.mil/  --&gt;&lt;div id='dragA29' class='catAll catArmySites catHuman'&gt;&lt;div class='column hideMarquee' draggable='true' ondragstart='drag(event)' value='A29' id='A29'&gt;&lt;div class='armyCardContainer ssCard'&gt;&lt;div class='ssArmyCard'&gt;&lt;div&gt;&lt;p class='marquee'&gt;Army Publication Directorate is an online repository for all current Army Regulations, Directives, Policy and Guidance.&lt;/p&gt;&lt;img src='assets/Card-018.png' class='ssCardImage' draggable='false' loading='lazy'&gt;&lt;/div&gt;&lt;div class='ssTitle'&gt;&lt;span id='A29Title'&gt;Army Publication Directorate&lt;/span&gt;&lt;/div&gt;&lt;/div&gt;&lt;/div&gt;&lt;/div&gt;&lt;/div&gt;&lt;script&gt;var jsA29 = document.getElementById('dragA29').innerHTML;&lt;/script&gt;</v>
      </c>
      <c r="AA44" s="1" t="str">
        <f>CONCATENATE("var js",Table1[[#This Row],[IDs]]," = document.getElementbyId('drag",Table1[[#This Row],[IDs]],"').innerHTML; //  ",Table1[[#This Row],[Site]])</f>
        <v>var jsA29 = document.getElementbyId('dragA29').innerHTML; //  Army Publication Directorate</v>
      </c>
    </row>
    <row r="45" spans="1:27" ht="15" x14ac:dyDescent="0.25">
      <c r="A45" t="s">
        <v>82</v>
      </c>
      <c r="B45" t="s">
        <v>82</v>
      </c>
      <c r="C45" s="2" t="s">
        <v>83</v>
      </c>
      <c r="D45" t="s">
        <v>621</v>
      </c>
      <c r="E45" t="s">
        <v>620</v>
      </c>
      <c r="F45" s="2" t="s">
        <v>100</v>
      </c>
      <c r="G45" s="2" t="s">
        <v>900</v>
      </c>
      <c r="H45" s="2" t="s">
        <v>552</v>
      </c>
      <c r="I45" s="2"/>
      <c r="J45" s="2" t="s">
        <v>18</v>
      </c>
      <c r="K45" s="2"/>
      <c r="L45" s="2"/>
      <c r="M45" s="2"/>
      <c r="N45" s="2"/>
      <c r="O45" s="2"/>
      <c r="P45" s="2"/>
      <c r="Q45" s="2"/>
      <c r="R45" s="2"/>
      <c r="S45" s="2"/>
      <c r="T45" s="2"/>
      <c r="U45" s="2"/>
      <c r="V45" s="2"/>
      <c r="W45" s="3" t="str">
        <f>CONCATENATE("var js",Table1[[#This Row],[IDs]]," = document.getElementbyId('",Table1[[#This Row],[IDs]],"').innerHTML; //  ",Table1[[#This Row],[Site]])</f>
        <v>var jsA30 = document.getElementbyId('A30').innerHTML; //  Army Readiness Assessment Program</v>
      </c>
      <c r="X45" s="1" t="str">
        <f t="shared" si="2"/>
        <v xml:space="preserve">        &lt;!--Army Readiness Assessment Program - https://earap.safety.army.mil/  --&gt;&lt;div class='column catAll catCombatReadiness' style='margin-bottom: 0px;' id='A30'&gt;&lt;a href='https://earap.safety.army.mil/ ' rel='noopener noreferrer' class='column hideMarquee'&gt;&lt;div class='armyCardContainer card'&gt;&lt;div class='armyCard'&gt;&lt;div&gt;&lt;p class='marquee'&gt;Army Readiness Assessment Program (ARAP) is a Web-based resource that provides battalion-level commanders with data on their formation's readiness posture through seven categories:&lt;br&gt; - Common Core&lt;br&gt; - Organizational Processes&lt;br&gt; - Organizational Climate&lt;br&gt; - Resources&lt;br&gt; - Safety Programs&lt;br&gt; - Open Ended&lt;/p&gt;&lt;img src='assets/CaCRequired.png' title='A CAC is required to use some or all features of this site!' Class='cacLocked'&gt;&lt;img src='assets/Card-074.png' class='cardImage' loading='lazy'&gt;&lt;/div&gt;&lt;div class='title'&gt;
          &lt;span&gt;Army Readiness Assessment Program&lt;/span&gt;&lt;/div&gt;&lt;/div&gt;&lt;/div&gt;&lt;/a&gt;&lt;/div&gt;&lt;script&gt;var jsA30 = document.getElementById('A30').innerHTML;&lt;/script&gt;</v>
      </c>
      <c r="Y4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Readiness Assessment Program - https://earap.safety.army.mil/  --&gt;
      &lt;summary&gt;• &lt;a href='https://earap.safety.army.mil/ ' rel='noopener noreferrer'&gt;Army Readiness Assessment Program - https://earap.safety.army.mil/ &lt;/a&gt;&lt;/summary&gt;
      &lt;p&gt;Army Readiness Assessment Program (ARAP) is a Web-based resource that provides battalion-level commanders with data on their formation's readiness posture through seven categories:&lt;br&gt; - Common Core&lt;br&gt; - Organizational Processes&lt;br&gt; - Organizational Climate&lt;br&gt; - Resources&lt;br&gt; - Safety Programs&lt;br&gt; - Open Ended&lt;/p&gt;
    &lt;/details&gt;</v>
      </c>
      <c r="Z45" s="1" t="str">
        <f t="shared" si="1"/>
        <v xml:space="preserve">          &lt;!-- Army Readiness Assessment Program - https://earap.safety.army.mil/  --&gt;&lt;div id='dragA30' class='catAll catCombatReadiness'&gt;&lt;div class='column hideMarquee' draggable='true' ondragstart='drag(event)' value='A30' id='A30'&gt;&lt;div class='armyCardContainer ssCard'&gt;&lt;div class='ssArmyCard'&gt;&lt;div&gt;&lt;p class='marquee'&gt;Army Readiness Assessment Program (ARAP) is a Web-based resource that provides battalion-level commanders with data on their formation's readiness posture through seven categories:&lt;br&gt; - Common Core&lt;br&gt; - Organizational Processes&lt;br&gt; - Organizational Climate&lt;br&gt; - Resources&lt;br&gt; - Safety Programs&lt;br&gt; - Open Ended&lt;/p&gt;&lt;img src='assets/Card-074.png' class='ssCardImage' draggable='false' loading='lazy'&gt;&lt;/div&gt;&lt;div class='ssTitle'&gt;&lt;span id='A30Title'&gt;Army Readiness Assessment Program&lt;/span&gt;&lt;/div&gt;&lt;/div&gt;&lt;/div&gt;&lt;/div&gt;&lt;/div&gt;&lt;script&gt;var jsA30 = document.getElementById('dragA30').innerHTML;&lt;/script&gt;</v>
      </c>
      <c r="AA45" s="1" t="str">
        <f>CONCATENATE("var js",Table1[[#This Row],[IDs]]," = document.getElementbyId('drag",Table1[[#This Row],[IDs]],"').innerHTML; //  ",Table1[[#This Row],[Site]])</f>
        <v>var jsA30 = document.getElementbyId('dragA30').innerHTML; //  Army Readiness Assessment Program</v>
      </c>
    </row>
    <row r="46" spans="1:27" ht="15" x14ac:dyDescent="0.25">
      <c r="A46" t="s">
        <v>424</v>
      </c>
      <c r="B46" t="s">
        <v>424</v>
      </c>
      <c r="C46" s="10" t="s">
        <v>446</v>
      </c>
      <c r="D46" t="s">
        <v>623</v>
      </c>
      <c r="E46" t="s">
        <v>622</v>
      </c>
      <c r="F46" s="2" t="s">
        <v>425</v>
      </c>
      <c r="G46" s="2" t="s">
        <v>552</v>
      </c>
      <c r="H46" s="2" t="s">
        <v>552</v>
      </c>
      <c r="I46" s="2"/>
      <c r="J46" s="2"/>
      <c r="K46" s="2"/>
      <c r="L46" s="2"/>
      <c r="M46" s="2"/>
      <c r="N46" s="2"/>
      <c r="O46" s="2" t="s">
        <v>18</v>
      </c>
      <c r="P46" s="2"/>
      <c r="Q46" s="2"/>
      <c r="R46" s="2"/>
      <c r="S46" s="2"/>
      <c r="T46" s="2"/>
      <c r="U46" s="2"/>
      <c r="V46" s="2"/>
      <c r="W46" s="3" t="str">
        <f>CONCATENATE("var js",Table1[[#This Row],[IDs]]," = document.getElementbyId('",Table1[[#This Row],[IDs]],"').innerHTML; //  ",Table1[[#This Row],[Site]])</f>
        <v>var jsA45 = document.getElementbyId('A45').innerHTML; //  Army Records Information Management System (ARIMS)</v>
      </c>
      <c r="X46" s="1" t="str">
        <f t="shared" si="2"/>
        <v xml:space="preserve">        &lt;!--Army Records Information Management System (ARIMS) - https://www.arims.army.mil/arims/Login.aspx --&gt;&lt;div class='column catAll catHuman' style='margin-bottom: 0px;' id='A45'&gt;&lt;a href='https://www.arims.army.mil/arims/Login.aspx' rel='noopener noreferrer' class='column hideMarquee'&gt;&lt;div class='armyCardContainer card'&gt;&lt;div class='armyCard'&gt;&lt;div&gt;&lt;p class='marquee'&gt;The Army Records Information Management System (ARIMS) is a role-based system managed and operated by the U.S. Army Records Management and Declassification Agency (RMDA). Its primary purpose is to provide authorized personnel with web-based tools and technology to manage both hard copy and electronic Army records. Access and use of the system is monitored to ensure security of information contained within.&lt;/p&gt;&lt;img src='assets/CaCRequired.png' title='A CAC is required to use some or all features of this site!' Class='cacLocked'&gt;&lt;img src='assets/DODlock.png' title='This Site requires a DoD network connection to be used!' Class='dodLocked'&gt;&lt;img src='assets/Card-001.png' class='cardImage' loading='lazy'&gt;&lt;/div&gt;&lt;div class='title'&gt;
          &lt;span&gt;Army Records Information Management System (ARIMS)&lt;/span&gt;&lt;/div&gt;&lt;/div&gt;&lt;/div&gt;&lt;/a&gt;&lt;/div&gt;&lt;script&gt;var jsA45 = document.getElementById('A45').innerHTML;&lt;/script&gt;</v>
      </c>
      <c r="Y4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Records Information Management System (ARIMS) - https://www.arims.army.mil/arims/Login.aspx --&gt;
      &lt;summary&gt;• &lt;a href='https://www.arims.army.mil/arims/Login.aspx' rel='noopener noreferrer'&gt;Army Records Information Management System (ARIMS) - https://www.arims.army.mil/arims/Login.aspx&lt;/a&gt;&lt;/summary&gt;
      &lt;p&gt;The Army Records Information Management System (ARIMS) is a role-based system managed and operated by the U.S. Army Records Management and Declassification Agency (RMDA). Its primary purpose is to provide authorized personnel with web-based tools and technology to manage both hard copy and electronic Army records. Access and use of the system is monitored to ensure security of information contained within.&lt;/p&gt;
    &lt;/details&gt;</v>
      </c>
      <c r="Z46" s="1" t="str">
        <f t="shared" si="1"/>
        <v xml:space="preserve">          &lt;!-- Army Records Information Management System (ARIMS) - https://www.arims.army.mil/arims/Login.aspx --&gt;&lt;div id='dragA45' class='catAll catHuman'&gt;&lt;div class='column hideMarquee' draggable='true' ondragstart='drag(event)' value='A45' id='A45'&gt;&lt;div class='armyCardContainer ssCard'&gt;&lt;div class='ssArmyCard'&gt;&lt;div&gt;&lt;p class='marquee'&gt;The Army Records Information Management System (ARIMS) is a role-based system managed and operated by the U.S. Army Records Management and Declassification Agency (RMDA). Its primary purpose is to provide authorized personnel with web-based tools and technology to manage both hard copy and electronic Army records. Access and use of the system is monitored to ensure security of information contained within.&lt;/p&gt;&lt;img src='assets/Card-001.png' class='ssCardImage' draggable='false' loading='lazy'&gt;&lt;/div&gt;&lt;div class='ssTitle'&gt;&lt;span id='A45Title'&gt;Army Records Information Management System (ARIMS)&lt;/span&gt;&lt;/div&gt;&lt;/div&gt;&lt;/div&gt;&lt;/div&gt;&lt;/div&gt;&lt;script&gt;var jsA45 = document.getElementById('dragA45').innerHTML;&lt;/script&gt;</v>
      </c>
      <c r="AA46" s="1" t="str">
        <f>CONCATENATE("var js",Table1[[#This Row],[IDs]]," = document.getElementbyId('drag",Table1[[#This Row],[IDs]],"').innerHTML; //  ",Table1[[#This Row],[Site]])</f>
        <v>var jsA45 = document.getElementbyId('dragA45').innerHTML; //  Army Records Information Management System (ARIMS)</v>
      </c>
    </row>
    <row r="47" spans="1:27" ht="15" x14ac:dyDescent="0.25">
      <c r="A47" s="1" t="s">
        <v>455</v>
      </c>
      <c r="B47" s="1" t="s">
        <v>455</v>
      </c>
      <c r="C47" s="10" t="s">
        <v>456</v>
      </c>
      <c r="D47" t="s">
        <v>971</v>
      </c>
      <c r="E47" s="1" t="s">
        <v>990</v>
      </c>
      <c r="F47" s="2" t="s">
        <v>472</v>
      </c>
      <c r="G47" s="2" t="s">
        <v>900</v>
      </c>
      <c r="H47" s="2" t="s">
        <v>552</v>
      </c>
      <c r="I47" s="2"/>
      <c r="J47" s="2"/>
      <c r="K47" s="2"/>
      <c r="L47" s="2"/>
      <c r="M47" s="2"/>
      <c r="N47" s="2"/>
      <c r="O47" s="2"/>
      <c r="P47" s="2"/>
      <c r="Q47" s="2"/>
      <c r="R47" s="2" t="s">
        <v>18</v>
      </c>
      <c r="S47" s="2"/>
      <c r="T47" s="2"/>
      <c r="U47" s="2"/>
      <c r="V47" s="2"/>
      <c r="W47" s="3" t="str">
        <f>CONCATENATE("var js",Table1[[#This Row],[IDs]]," = document.getElementbyId('",Table1[[#This Row],[IDs]],"').innerHTML; //  ",Table1[[#This Row],[Site]])</f>
        <v>var jsA47 = document.getElementbyId('A47').innerHTML; //  Army Reserves Account Maintenance &amp; Provisioning (ARAMP)</v>
      </c>
      <c r="X47" s="1" t="str">
        <f t="shared" si="2"/>
        <v xml:space="preserve">        &lt;!--Army Reserves Account Maintenance &amp; Provisioning (ARAMP) - https://aramp.usar.army.mil/ --&gt;&lt;div class='column catAll catTech' style='margin-bottom: 0px;' id='A47'&gt;&lt;a href='https://aramp.usar.army.mil/' rel='noopener noreferrer' class='column hideMarquee'&gt;&lt;div class='armyCardContainer card'&gt;&lt;div class='armyCard'&gt;&lt;div&gt;&lt;p class='marquee'&gt;Army Reserves Account Maintenance &amp; Provisioning gives you access to Army Reserves Network (ARNET). &lt;/p&gt;&lt;img src='assets/CaCRequired.png' title='A CAC is required to use some or all features of this site!' Class='cacLocked'&gt;&lt;img src='assets/Card-158.png' class='cardImage' loading='lazy'&gt;&lt;/div&gt;&lt;div class='title'&gt;
          &lt;span&gt;Army Reserves Account Maintenance &amp; Provisioning (ARAMP)&lt;/span&gt;&lt;/div&gt;&lt;/div&gt;&lt;/div&gt;&lt;/a&gt;&lt;/div&gt;&lt;script&gt;var jsA47 = document.getElementById('A47').innerHTML;&lt;/script&gt;</v>
      </c>
      <c r="Y4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Reserves Account Maintenance &amp; Provisioning (ARAMP) - https://aramp.usar.army.mil/ --&gt;
      &lt;summary&gt;• &lt;a href='https://aramp.usar.army.mil/' rel='noopener noreferrer'&gt;Army Reserves Account Maintenance &amp; Provisioning (ARAMP) - https://aramp.usar.army.mil/&lt;/a&gt;&lt;/summary&gt;
      &lt;p&gt;Army Reserves Account Maintenance &amp; Provisioning gives you access to Army Reserves Network (ARNET). &lt;/p&gt;
    &lt;/details&gt;</v>
      </c>
      <c r="Z47" s="1" t="str">
        <f t="shared" si="1"/>
        <v xml:space="preserve">          &lt;!-- Army Reserves Account Maintenance &amp; Provisioning (ARAMP) - https://aramp.usar.army.mil/ --&gt;&lt;div id='dragA47' class='catAll catTech'&gt;&lt;div class='column hideMarquee' draggable='true' ondragstart='drag(event)' value='A47' id='A47'&gt;&lt;div class='armyCardContainer ssCard'&gt;&lt;div class='ssArmyCard'&gt;&lt;div&gt;&lt;p class='marquee'&gt;Army Reserves Account Maintenance &amp; Provisioning gives you access to Army Reserves Network (ARNET). &lt;/p&gt;&lt;img src='assets/Card-158.png' class='ssCardImage' draggable='false' loading='lazy'&gt;&lt;/div&gt;&lt;div class='ssTitle'&gt;&lt;span id='A47Title'&gt;Army Reserves Account Maintenance &amp; Provisioning (ARAMP)&lt;/span&gt;&lt;/div&gt;&lt;/div&gt;&lt;/div&gt;&lt;/div&gt;&lt;/div&gt;&lt;script&gt;var jsA47 = document.getElementById('dragA47').innerHTML;&lt;/script&gt;</v>
      </c>
      <c r="AA47" s="1" t="str">
        <f>CONCATENATE("var js",Table1[[#This Row],[IDs]]," = document.getElementbyId('drag",Table1[[#This Row],[IDs]],"').innerHTML; //  ",Table1[[#This Row],[Site]])</f>
        <v>var jsA47 = document.getElementbyId('dragA47').innerHTML; //  Army Reserves Account Maintenance &amp; Provisioning (ARAMP)</v>
      </c>
    </row>
    <row r="48" spans="1:27" ht="15" x14ac:dyDescent="0.25">
      <c r="A48" t="s">
        <v>501</v>
      </c>
      <c r="B48" t="s">
        <v>501</v>
      </c>
      <c r="C48" s="10" t="s">
        <v>502</v>
      </c>
      <c r="D48" t="s">
        <v>972</v>
      </c>
      <c r="E48" t="s">
        <v>914</v>
      </c>
      <c r="F48" s="2" t="s">
        <v>1005</v>
      </c>
      <c r="G48" s="2" t="s">
        <v>900</v>
      </c>
      <c r="H48" s="2" t="s">
        <v>900</v>
      </c>
      <c r="I48" s="2"/>
      <c r="J48" s="2"/>
      <c r="K48" s="2" t="s">
        <v>18</v>
      </c>
      <c r="L48" s="2" t="s">
        <v>18</v>
      </c>
      <c r="M48" s="2"/>
      <c r="N48" s="2"/>
      <c r="O48" s="2"/>
      <c r="P48" s="2"/>
      <c r="Q48" s="2"/>
      <c r="R48" s="2"/>
      <c r="S48" s="2"/>
      <c r="T48" s="2"/>
      <c r="U48" s="2"/>
      <c r="V48" s="2"/>
      <c r="W48" s="3" t="str">
        <f>CONCATENATE("var js",Table1[[#This Row],[IDs]]," = document.getElementbyId('",Table1[[#This Row],[IDs]],"').innerHTML; //  ",Table1[[#This Row],[Site]])</f>
        <v>var jsA57 = document.getElementbyId('A57').innerHTML; //  Army Resilience Directorate</v>
      </c>
      <c r="X48" s="1" t="str">
        <f t="shared" si="2"/>
        <v xml:space="preserve">        &lt;!--Army Resilience Directorate - https://www.armyresilience.army.mil/ --&gt;&lt;div class='column catAll catDod catFamily' style='margin-bottom: 0px;' id='A57'&gt;&lt;a href='https://www.armyresilience.army.mil/' rel='noopener noreferrer' class='column hideMarquee'&gt;&lt;div class='armyCardContainer card'&gt;&lt;div class='armyCard'&gt;&lt;div&gt;&lt;p class='marquee'&gt;Official Website of the Army Resilience Directorate. The mission of the Army Resilience Directorate is to provide policy, resources, and capabilities for individuals and leaders in order to increase resilience and readiness through the prevention of suicide, sexual harassment, sexual assault, and substance abuse.&lt;/p&gt;&lt;img src='assets/Card-162.png' class='cardImage' loading='lazy'&gt;&lt;/div&gt;&lt;div class='title'&gt;
          &lt;span&gt;Army Resilience Directorate&lt;/span&gt;&lt;/div&gt;&lt;/div&gt;&lt;/div&gt;&lt;/a&gt;&lt;/div&gt;&lt;script&gt;var jsA57 = document.getElementById('A57').innerHTML;&lt;/script&gt;</v>
      </c>
      <c r="Y4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Resilience Directorate - https://www.armyresilience.army.mil/ --&gt;
      &lt;summary&gt;• &lt;a href='https://www.armyresilience.army.mil/' rel='noopener noreferrer'&gt;Army Resilience Directorate - https://www.armyresilience.army.mil/&lt;/a&gt;&lt;/summary&gt;
      &lt;p&gt;Official Website of the Army Resilience Directorate. The mission of the Army Resilience Directorate is to provide policy, resources, and capabilities for individuals and leaders in order to increase resilience and readiness through the prevention of suicide, sexual harassment, sexual assault, and substance abuse.&lt;/p&gt;
    &lt;/details&gt;</v>
      </c>
      <c r="Z48" s="1" t="str">
        <f t="shared" si="1"/>
        <v xml:space="preserve">          &lt;!-- Army Resilience Directorate - https://www.armyresilience.army.mil/ --&gt;&lt;div id='dragA57' class='catAll catDod catFamily'&gt;&lt;div class='column hideMarquee' draggable='true' ondragstart='drag(event)' value='A57' id='A57'&gt;&lt;div class='armyCardContainer ssCard'&gt;&lt;div class='ssArmyCard'&gt;&lt;div&gt;&lt;p class='marquee'&gt;Official Website of the Army Resilience Directorate. The mission of the Army Resilience Directorate is to provide policy, resources, and capabilities for individuals and leaders in order to increase resilience and readiness through the prevention of suicide, sexual harassment, sexual assault, and substance abuse.&lt;/p&gt;&lt;img src='assets/Card-162.png' class='ssCardImage' draggable='false' loading='lazy'&gt;&lt;/div&gt;&lt;div class='ssTitle'&gt;&lt;span id='A57Title'&gt;Army Resilience Directorate&lt;/span&gt;&lt;/div&gt;&lt;/div&gt;&lt;/div&gt;&lt;/div&gt;&lt;/div&gt;&lt;script&gt;var jsA57 = document.getElementById('dragA57').innerHTML;&lt;/script&gt;</v>
      </c>
      <c r="AA48" s="1" t="str">
        <f>CONCATENATE("var js",Table1[[#This Row],[IDs]]," = document.getElementbyId('drag",Table1[[#This Row],[IDs]],"').innerHTML; //  ",Table1[[#This Row],[Site]])</f>
        <v>var jsA57 = document.getElementbyId('dragA57').innerHTML; //  Army Resilience Directorate</v>
      </c>
    </row>
    <row r="49" spans="1:27" ht="15" x14ac:dyDescent="0.25">
      <c r="A49" t="s">
        <v>878</v>
      </c>
      <c r="B49" t="s">
        <v>878</v>
      </c>
      <c r="C49" s="9" t="s">
        <v>488</v>
      </c>
      <c r="D49" t="s">
        <v>973</v>
      </c>
      <c r="E49" s="1" t="s">
        <v>994</v>
      </c>
      <c r="F49" s="2" t="s">
        <v>1006</v>
      </c>
      <c r="G49" s="2" t="s">
        <v>900</v>
      </c>
      <c r="H49" s="2" t="s">
        <v>552</v>
      </c>
      <c r="I49" s="2" t="s">
        <v>18</v>
      </c>
      <c r="J49" s="2" t="s">
        <v>18</v>
      </c>
      <c r="K49" s="2"/>
      <c r="L49" s="2"/>
      <c r="M49" s="2"/>
      <c r="N49" s="2"/>
      <c r="O49" s="2"/>
      <c r="P49" s="2"/>
      <c r="Q49" s="2"/>
      <c r="R49" s="2"/>
      <c r="S49" s="2"/>
      <c r="T49" s="2"/>
      <c r="U49" s="2"/>
      <c r="V49" s="2"/>
      <c r="W49" s="3" t="str">
        <f>CONCATENATE("var js",Table1[[#This Row],[IDs]]," = document.getElementbyId('",Table1[[#This Row],[IDs]],"').innerHTML; //  ",Table1[[#This Row],[Site]])</f>
        <v>var jsA58 = document.getElementbyId('A58').innerHTML; //  Army Safety Management Information System (ASMIS) 2.0</v>
      </c>
      <c r="X49" s="1" t="str">
        <f t="shared" si="2"/>
        <v xml:space="preserve">        &lt;!--Army Safety Management Information System (ASMIS) 2.0 - https://asmis.safety.army.mil/ --&gt;&lt;div class='column catAll catArmySites catCombatReadiness' style='margin-bottom: 0px;' id='A58'&gt;&lt;a href='https://asmis.safety.army.mil/' rel='noopener noreferrer' class='column hideMarquee'&gt;&lt;div class='armyCardContainer card'&gt;&lt;div class='armyCard'&gt;&lt;div&gt;&lt;p class='marquee'&gt;ASMIS 2.0 will provide capabilities to support the five core activities of Army SOH:&lt;br&gt;   Hazards Management&lt;br&gt;   Mishap and Near Miss Reporting&lt;br&gt;   Inspections, Surveys, and Assessments&lt;br&gt;   SOH Education and Training&lt;br&gt;   SOH Program Management&lt;br&gt;Furthermore, ASMIS 2.0 will provide a framework of people, processes, and technology to integrate, synchronize and optimize Army SOH capabilities to create a culture where Safety and Occupational Health are enablers of Army readiness and quality of life. &lt;/p&gt;&lt;img src='assets/CaCRequired.png' title='A CAC is required to use some or all features of this site!' Class='cacLocked'&gt;&lt;img src='assets/Card-154.png' class='cardImage' loading='lazy'&gt;&lt;/div&gt;&lt;div class='title'&gt;
          &lt;span&gt;Army Safety Management Information System (ASMIS) 2.0&lt;/span&gt;&lt;/div&gt;&lt;/div&gt;&lt;/div&gt;&lt;/a&gt;&lt;/div&gt;&lt;script&gt;var jsA58 = document.getElementById('A58').innerHTML;&lt;/script&gt;</v>
      </c>
      <c r="Y4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Safety Management Information System (ASMIS) 2.0 - https://asmis.safety.army.mil/ --&gt;
      &lt;summary&gt;• &lt;a href='https://asmis.safety.army.mil/' rel='noopener noreferrer'&gt;Army Safety Management Information System (ASMIS) 2.0 - https://asmis.safety.army.mil/&lt;/a&gt;&lt;/summary&gt;
      &lt;p&gt;ASMIS 2.0 will provide capabilities to support the five core activities of Army SOH:&lt;br&gt;   Hazards Management&lt;br&gt;   Mishap and Near Miss Reporting&lt;br&gt;   Inspections, Surveys, and Assessments&lt;br&gt;   SOH Education and Training&lt;br&gt;   SOH Program Management&lt;br&gt;Furthermore, ASMIS 2.0 will provide a framework of people, processes, and technology to integrate, synchronize and optimize Army SOH capabilities to create a culture where Safety and Occupational Health are enablers of Army readiness and quality of life. &lt;/p&gt;
    &lt;/details&gt;</v>
      </c>
      <c r="Z49" s="1" t="str">
        <f t="shared" si="1"/>
        <v xml:space="preserve">          &lt;!-- Army Safety Management Information System (ASMIS) 2.0 - https://asmis.safety.army.mil/ --&gt;&lt;div id='dragA58' class='catAll catArmySites catCombatReadiness'&gt;&lt;div class='column hideMarquee' draggable='true' ondragstart='drag(event)' value='A58' id='A58'&gt;&lt;div class='armyCardContainer ssCard'&gt;&lt;div class='ssArmyCard'&gt;&lt;div&gt;&lt;p class='marquee'&gt;ASMIS 2.0 will provide capabilities to support the five core activities of Army SOH:&lt;br&gt;   Hazards Management&lt;br&gt;   Mishap and Near Miss Reporting&lt;br&gt;   Inspections, Surveys, and Assessments&lt;br&gt;   SOH Education and Training&lt;br&gt;   SOH Program Management&lt;br&gt;Furthermore, ASMIS 2.0 will provide a framework of people, processes, and technology to integrate, synchronize and optimize Army SOH capabilities to create a culture where Safety and Occupational Health are enablers of Army readiness and quality of life. &lt;/p&gt;&lt;img src='assets/Card-154.png' class='ssCardImage' draggable='false' loading='lazy'&gt;&lt;/div&gt;&lt;div class='ssTitle'&gt;&lt;span id='A58Title'&gt;Army Safety Management Information System (ASMIS) 2.0&lt;/span&gt;&lt;/div&gt;&lt;/div&gt;&lt;/div&gt;&lt;/div&gt;&lt;/div&gt;&lt;script&gt;var jsA58 = document.getElementById('dragA58').innerHTML;&lt;/script&gt;</v>
      </c>
      <c r="AA49" s="1" t="str">
        <f>CONCATENATE("var js",Table1[[#This Row],[IDs]]," = document.getElementbyId('drag",Table1[[#This Row],[IDs]],"').innerHTML; //  ",Table1[[#This Row],[Site]])</f>
        <v>var jsA58 = document.getElementbyId('dragA58').innerHTML; //  Army Safety Management Information System (ASMIS) 2.0</v>
      </c>
    </row>
    <row r="50" spans="1:27" ht="15" x14ac:dyDescent="0.25">
      <c r="A50" t="s">
        <v>85</v>
      </c>
      <c r="B50" t="s">
        <v>85</v>
      </c>
      <c r="C50" s="2" t="s">
        <v>86</v>
      </c>
      <c r="D50" t="s">
        <v>623</v>
      </c>
      <c r="E50" t="s">
        <v>624</v>
      </c>
      <c r="F50" s="2" t="s">
        <v>103</v>
      </c>
      <c r="G50" s="2" t="s">
        <v>900</v>
      </c>
      <c r="H50" s="2" t="s">
        <v>900</v>
      </c>
      <c r="I50" s="2" t="s">
        <v>18</v>
      </c>
      <c r="J50" s="2"/>
      <c r="K50" s="2"/>
      <c r="L50" s="2"/>
      <c r="M50" s="2"/>
      <c r="N50" s="2"/>
      <c r="O50" s="2"/>
      <c r="P50" s="2"/>
      <c r="Q50" s="2"/>
      <c r="R50" s="2"/>
      <c r="S50" s="2"/>
      <c r="T50" s="2"/>
      <c r="U50" s="2"/>
      <c r="V50" s="2"/>
      <c r="W50" s="3" t="str">
        <f>CONCATENATE("var js",Table1[[#This Row],[IDs]]," = document.getElementbyId('",Table1[[#This Row],[IDs]],"').innerHTML; //  ",Table1[[#This Row],[Site]])</f>
        <v>var jsA31 = document.getElementbyId('A31').innerHTML; //  Army Senior Leadership</v>
      </c>
      <c r="X50" s="1" t="str">
        <f t="shared" si="2"/>
        <v xml:space="preserve">        &lt;!--Army Senior Leadership - https://www.army.mil/leaders/sa/ --&gt;&lt;div class='column catAll catArmySites' style='margin-bottom: 0px;' id='A31'&gt;&lt;a href='https://www.army.mil/leaders/sa/' rel='noopener noreferrer' class='column hideMarquee'&gt;&lt;div class='armyCardContainer card'&gt;&lt;div class='armyCard'&gt;&lt;div&gt;&lt;p class='marquee'&gt;Secretary of the Army's official web page, including a biography, news, photos and videos related to the U.S. Army senior leader.&lt;/p&gt;&lt;img src='assets/Card-001.png' class='cardImage' loading='lazy'&gt;&lt;/div&gt;&lt;div class='title'&gt;
          &lt;span&gt;Army Senior Leadership&lt;/span&gt;&lt;/div&gt;&lt;/div&gt;&lt;/div&gt;&lt;/a&gt;&lt;/div&gt;&lt;script&gt;var jsA31 = document.getElementById('A31').innerHTML;&lt;/script&gt;</v>
      </c>
      <c r="Y5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Senior Leadership - https://www.army.mil/leaders/sa/ --&gt;
      &lt;summary&gt;• &lt;a href='https://www.army.mil/leaders/sa/' rel='noopener noreferrer'&gt;Army Senior Leadership - https://www.army.mil/leaders/sa/&lt;/a&gt;&lt;/summary&gt;
      &lt;p&gt;Secretary of the Army's official web page, including a biography, news, photos and videos related to the U.S. Army senior leader.&lt;/p&gt;
    &lt;/details&gt;</v>
      </c>
      <c r="Z50" s="1" t="str">
        <f t="shared" si="1"/>
        <v xml:space="preserve">          &lt;!-- Army Senior Leadership - https://www.army.mil/leaders/sa/ --&gt;&lt;div id='dragA31' class='catAll catArmySites'&gt;&lt;div class='column hideMarquee' draggable='true' ondragstart='drag(event)' value='A31' id='A31'&gt;&lt;div class='armyCardContainer ssCard'&gt;&lt;div class='ssArmyCard'&gt;&lt;div&gt;&lt;p class='marquee'&gt;Secretary of the Army's official web page, including a biography, news, photos and videos related to the U.S. Army senior leader.&lt;/p&gt;&lt;img src='assets/Card-001.png' class='ssCardImage' draggable='false' loading='lazy'&gt;&lt;/div&gt;&lt;div class='ssTitle'&gt;&lt;span id='A31Title'&gt;Army Senior Leadership&lt;/span&gt;&lt;/div&gt;&lt;/div&gt;&lt;/div&gt;&lt;/div&gt;&lt;/div&gt;&lt;script&gt;var jsA31 = document.getElementById('dragA31').innerHTML;&lt;/script&gt;</v>
      </c>
      <c r="AA50" s="1" t="str">
        <f>CONCATENATE("var js",Table1[[#This Row],[IDs]]," = document.getElementbyId('drag",Table1[[#This Row],[IDs]],"').innerHTML; //  ",Table1[[#This Row],[Site]])</f>
        <v>var jsA31 = document.getElementbyId('dragA31').innerHTML; //  Army Senior Leadership</v>
      </c>
    </row>
    <row r="51" spans="1:27" ht="15" x14ac:dyDescent="0.25">
      <c r="A51" t="s">
        <v>625</v>
      </c>
      <c r="B51" t="s">
        <v>625</v>
      </c>
      <c r="C51" s="10" t="s">
        <v>924</v>
      </c>
      <c r="D51" t="s">
        <v>587</v>
      </c>
      <c r="E51" t="s">
        <v>588</v>
      </c>
      <c r="F51" s="2" t="s">
        <v>105</v>
      </c>
      <c r="G51" s="2" t="s">
        <v>900</v>
      </c>
      <c r="H51" s="2" t="s">
        <v>900</v>
      </c>
      <c r="I51" s="2"/>
      <c r="J51" s="2"/>
      <c r="K51" s="2"/>
      <c r="L51" s="2"/>
      <c r="M51" s="2"/>
      <c r="N51" s="2"/>
      <c r="O51" s="2"/>
      <c r="P51" s="2"/>
      <c r="Q51" s="2" t="s">
        <v>18</v>
      </c>
      <c r="R51" s="2"/>
      <c r="S51" s="2"/>
      <c r="T51" s="2" t="s">
        <v>18</v>
      </c>
      <c r="U51" s="2"/>
      <c r="V51" s="2"/>
      <c r="W51" s="3" t="str">
        <f>CONCATENATE("var js",Table1[[#This Row],[IDs]]," = document.getElementbyId('",Table1[[#This Row],[IDs]],"').innerHTML; //  ",Table1[[#This Row],[Site]])</f>
        <v>var jsA32 = document.getElementbyId('A32').innerHTML; //  Army SkillSoft (Skill Port)</v>
      </c>
      <c r="X51" s="1" t="str">
        <f t="shared" si="2"/>
        <v xml:space="preserve">        &lt;!--Army SkillSoft (Skill Port) - https://usarmy.percipio.com/login?state=%2F#/ --&gt;&lt;div class='column catAll catProDev catCivEd' style='margin-bottom: 0px;' id='A32'&gt;&lt;a href='https://usarmy.percipio.com/login?state=%2F#/' rel='noopener noreferrer' class='column hideMarquee'&gt;&lt;div class='armyCardContainer card'&gt;&lt;div class='armyCard'&gt;&lt;div&gt;&lt;p class='marquee'&gt;With Army e-Learning you have access over 3,500 web-based courses in Information Technology, Business Leadership and Personal Development. These can be accessed through Skillport.&lt;/p&gt;&lt;img src='assets/Card-031.png' class='cardImage' loading='lazy'&gt;&lt;/div&gt;&lt;div class='title'&gt;
          &lt;span&gt;Army SkillSoft (Skill Port)&lt;/span&gt;&lt;/div&gt;&lt;/div&gt;&lt;/div&gt;&lt;/a&gt;&lt;/div&gt;&lt;script&gt;var jsA32 = document.getElementById('A32').innerHTML;&lt;/script&gt;</v>
      </c>
      <c r="Y5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SkillSoft (Skill Port) - https://usarmy.percipio.com/login?state=%2F#/ --&gt;
      &lt;summary&gt;• &lt;a href='https://usarmy.percipio.com/login?state=%2F#/' rel='noopener noreferrer'&gt;Army SkillSoft (Skill Port) - https://usarmy.percipio.com/login?state=%2F#/&lt;/a&gt;&lt;/summary&gt;
      &lt;p&gt;With Army e-Learning you have access over 3,500 web-based courses in Information Technology, Business Leadership and Personal Development. These can be accessed through Skillport.&lt;/p&gt;
    &lt;/details&gt;</v>
      </c>
      <c r="Z51" s="1" t="str">
        <f t="shared" si="1"/>
        <v xml:space="preserve">          &lt;!-- Army SkillSoft (Skill Port) - https://usarmy.percipio.com/login?state=%2F#/ --&gt;&lt;div id='dragA32' class='catAll catProDev catCivEd'&gt;&lt;div class='column hideMarquee' draggable='true' ondragstart='drag(event)' value='A32' id='A32'&gt;&lt;div class='armyCardContainer ssCard'&gt;&lt;div class='ssArmyCard'&gt;&lt;div&gt;&lt;p class='marquee'&gt;With Army e-Learning you have access over 3,500 web-based courses in Information Technology, Business Leadership and Personal Development. These can be accessed through Skillport.&lt;/p&gt;&lt;img src='assets/Card-031.png' class='ssCardImage' draggable='false' loading='lazy'&gt;&lt;/div&gt;&lt;div class='ssTitle'&gt;&lt;span id='A32Title'&gt;Army SkillSoft (Skill Port)&lt;/span&gt;&lt;/div&gt;&lt;/div&gt;&lt;/div&gt;&lt;/div&gt;&lt;/div&gt;&lt;script&gt;var jsA32 = document.getElementById('dragA32').innerHTML;&lt;/script&gt;</v>
      </c>
      <c r="AA51" s="1" t="str">
        <f>CONCATENATE("var js",Table1[[#This Row],[IDs]]," = document.getElementbyId('drag",Table1[[#This Row],[IDs]],"').innerHTML; //  ",Table1[[#This Row],[Site]])</f>
        <v>var jsA32 = document.getElementbyId('dragA32').innerHTML; //  Army SkillSoft (Skill Port)</v>
      </c>
    </row>
    <row r="52" spans="1:27" ht="15" x14ac:dyDescent="0.25">
      <c r="A52" t="s">
        <v>89</v>
      </c>
      <c r="B52" t="s">
        <v>89</v>
      </c>
      <c r="C52" s="2" t="s">
        <v>90</v>
      </c>
      <c r="D52" t="s">
        <v>627</v>
      </c>
      <c r="E52" t="s">
        <v>626</v>
      </c>
      <c r="F52" s="2" t="s">
        <v>108</v>
      </c>
      <c r="G52" s="2" t="s">
        <v>900</v>
      </c>
      <c r="H52" s="2" t="s">
        <v>900</v>
      </c>
      <c r="I52" s="2" t="s">
        <v>18</v>
      </c>
      <c r="J52" s="2"/>
      <c r="K52" s="2"/>
      <c r="L52" s="2"/>
      <c r="M52" s="2"/>
      <c r="N52" s="2" t="s">
        <v>18</v>
      </c>
      <c r="O52" s="2"/>
      <c r="P52" s="2"/>
      <c r="Q52" s="2"/>
      <c r="R52" s="2"/>
      <c r="S52" s="2"/>
      <c r="T52" s="2"/>
      <c r="U52" s="2"/>
      <c r="V52" s="2"/>
      <c r="W52" s="3" t="str">
        <f>CONCATENATE("var js",Table1[[#This Row],[IDs]]," = document.getElementbyId('",Table1[[#This Row],[IDs]],"').innerHTML; //  ",Table1[[#This Row],[Site]])</f>
        <v>var jsA33 = document.getElementbyId('A33').innerHTML; //  Army Substance Abuse Program (ASAP)</v>
      </c>
      <c r="X52" s="1" t="str">
        <f t="shared" si="2"/>
        <v xml:space="preserve">        &lt;!--Army Substance Abuse Program (ASAP) - https://sr2.army.mil/ --&gt;&lt;div class='column catAll catArmySites catHealth' style='margin-bottom: 0px;' id='A33'&gt;&lt;a href='https://sr2.army.mil/' rel='noopener noreferrer' class='column hideMarquee'&gt;&lt;div class='armyCardContainer card'&gt;&lt;div class='armyCard'&gt;&lt;div&gt;&lt;p class='marquee'&gt;The Army Substance Abuse Program is an anti-substance abuse program in the United States Army, operated by the Army Center for Substance Abuse Programs.&lt;/p&gt;&lt;img src='assets/Card-078.png' class='cardImage' loading='lazy'&gt;&lt;/div&gt;&lt;div class='title'&gt;
          &lt;span&gt;Army Substance Abuse Program (ASAP)&lt;/span&gt;&lt;/div&gt;&lt;/div&gt;&lt;/div&gt;&lt;/a&gt;&lt;/div&gt;&lt;script&gt;var jsA33 = document.getElementById('A33').innerHTML;&lt;/script&gt;</v>
      </c>
      <c r="Y5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Substance Abuse Program (ASAP) - https://sr2.army.mil/ --&gt;
      &lt;summary&gt;• &lt;a href='https://sr2.army.mil/' rel='noopener noreferrer'&gt;Army Substance Abuse Program (ASAP) - https://sr2.army.mil/&lt;/a&gt;&lt;/summary&gt;
      &lt;p&gt;The Army Substance Abuse Program is an anti-substance abuse program in the United States Army, operated by the Army Center for Substance Abuse Programs.&lt;/p&gt;
    &lt;/details&gt;</v>
      </c>
      <c r="Z52" s="1" t="str">
        <f t="shared" si="1"/>
        <v xml:space="preserve">          &lt;!-- Army Substance Abuse Program (ASAP) - https://sr2.army.mil/ --&gt;&lt;div id='dragA33' class='catAll catArmySites catHealth'&gt;&lt;div class='column hideMarquee' draggable='true' ondragstart='drag(event)' value='A33' id='A33'&gt;&lt;div class='armyCardContainer ssCard'&gt;&lt;div class='ssArmyCard'&gt;&lt;div&gt;&lt;p class='marquee'&gt;The Army Substance Abuse Program is an anti-substance abuse program in the United States Army, operated by the Army Center for Substance Abuse Programs.&lt;/p&gt;&lt;img src='assets/Card-078.png' class='ssCardImage' draggable='false' loading='lazy'&gt;&lt;/div&gt;&lt;div class='ssTitle'&gt;&lt;span id='A33Title'&gt;Army Substance Abuse Program (ASAP)&lt;/span&gt;&lt;/div&gt;&lt;/div&gt;&lt;/div&gt;&lt;/div&gt;&lt;/div&gt;&lt;script&gt;var jsA33 = document.getElementById('dragA33').innerHTML;&lt;/script&gt;</v>
      </c>
      <c r="AA52" s="1" t="str">
        <f>CONCATENATE("var js",Table1[[#This Row],[IDs]]," = document.getElementbyId('drag",Table1[[#This Row],[IDs]],"').innerHTML; //  ",Table1[[#This Row],[Site]])</f>
        <v>var jsA33 = document.getElementbyId('dragA33').innerHTML; //  Army Substance Abuse Program (ASAP)</v>
      </c>
    </row>
    <row r="53" spans="1:27" ht="15" x14ac:dyDescent="0.25">
      <c r="A53" t="s">
        <v>92</v>
      </c>
      <c r="B53" t="s">
        <v>92</v>
      </c>
      <c r="C53" s="10" t="s">
        <v>93</v>
      </c>
      <c r="D53" t="s">
        <v>629</v>
      </c>
      <c r="E53" t="s">
        <v>628</v>
      </c>
      <c r="F53" s="2" t="s">
        <v>110</v>
      </c>
      <c r="G53" s="2" t="s">
        <v>900</v>
      </c>
      <c r="H53" s="2" t="s">
        <v>900</v>
      </c>
      <c r="I53" s="2" t="s">
        <v>18</v>
      </c>
      <c r="J53" s="2"/>
      <c r="K53" s="2"/>
      <c r="L53" s="2"/>
      <c r="M53" s="2"/>
      <c r="N53" s="2"/>
      <c r="O53" s="2"/>
      <c r="P53" s="2"/>
      <c r="Q53" s="2"/>
      <c r="R53" s="2"/>
      <c r="S53" s="2"/>
      <c r="T53" s="2"/>
      <c r="U53" s="2"/>
      <c r="V53" s="2"/>
      <c r="W53" s="3" t="str">
        <f>CONCATENATE("var js",Table1[[#This Row],[IDs]]," = document.getElementbyId('",Table1[[#This Row],[IDs]],"').innerHTML; //  ",Table1[[#This Row],[Site]])</f>
        <v>var jsA34 = document.getElementbyId('A34').innerHTML; //  Army Sustainment</v>
      </c>
      <c r="X53" s="1" t="str">
        <f t="shared" si="2"/>
        <v xml:space="preserve">        &lt;!--Army Sustainment - https://alu.army.mil/alog/ --&gt;&lt;div class='column catAll catArmySites' style='margin-bottom: 0px;' id='A34'&gt;&lt;a href='https://alu.army.mil/alog/' rel='noopener noreferrer' class='column hideMarquee'&gt;&lt;div class='armyCardContainer card'&gt;&lt;div class='armyCard'&gt;&lt;div&gt;&lt;p class='marquee'&gt;A quarterly publication, prepared at the Army Logistics University and published by the Army Combined Support Command at Fort Lee, Virginia. It publishes timely, authoritative information on Army and DOD sustainment plans, programs, policies, operations, procedures, and doctrine for the benefit of all Army personnel.&lt;/p&gt;&lt;img src='assets/Card-095.png' class='cardImage' loading='lazy'&gt;&lt;/div&gt;&lt;div class='title'&gt;
          &lt;span&gt;Army Sustainment&lt;/span&gt;&lt;/div&gt;&lt;/div&gt;&lt;/div&gt;&lt;/a&gt;&lt;/div&gt;&lt;script&gt;var jsA34 = document.getElementById('A34').innerHTML;&lt;/script&gt;</v>
      </c>
      <c r="Y5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Sustainment - https://alu.army.mil/alog/ --&gt;
      &lt;summary&gt;• &lt;a href='https://alu.army.mil/alog/' rel='noopener noreferrer'&gt;Army Sustainment - https://alu.army.mil/alog/&lt;/a&gt;&lt;/summary&gt;
      &lt;p&gt;A quarterly publication, prepared at the Army Logistics University and published by the Army Combined Support Command at Fort Lee, Virginia. It publishes timely, authoritative information on Army and DOD sustainment plans, programs, policies, operations, procedures, and doctrine for the benefit of all Army personnel.&lt;/p&gt;
    &lt;/details&gt;</v>
      </c>
      <c r="Z53" s="1" t="str">
        <f t="shared" si="1"/>
        <v xml:space="preserve">          &lt;!-- Army Sustainment - https://alu.army.mil/alog/ --&gt;&lt;div id='dragA34' class='catAll catArmySites'&gt;&lt;div class='column hideMarquee' draggable='true' ondragstart='drag(event)' value='A34' id='A34'&gt;&lt;div class='armyCardContainer ssCard'&gt;&lt;div class='ssArmyCard'&gt;&lt;div&gt;&lt;p class='marquee'&gt;A quarterly publication, prepared at the Army Logistics University and published by the Army Combined Support Command at Fort Lee, Virginia. It publishes timely, authoritative information on Army and DOD sustainment plans, programs, policies, operations, procedures, and doctrine for the benefit of all Army personnel.&lt;/p&gt;&lt;img src='assets/Card-095.png' class='ssCardImage' draggable='false' loading='lazy'&gt;&lt;/div&gt;&lt;div class='ssTitle'&gt;&lt;span id='A34Title'&gt;Army Sustainment&lt;/span&gt;&lt;/div&gt;&lt;/div&gt;&lt;/div&gt;&lt;/div&gt;&lt;/div&gt;&lt;script&gt;var jsA34 = document.getElementById('dragA34').innerHTML;&lt;/script&gt;</v>
      </c>
      <c r="AA53" s="1" t="str">
        <f>CONCATENATE("var js",Table1[[#This Row],[IDs]]," = document.getElementbyId('drag",Table1[[#This Row],[IDs]],"').innerHTML; //  ",Table1[[#This Row],[Site]])</f>
        <v>var jsA34 = document.getElementbyId('dragA34').innerHTML; //  Army Sustainment</v>
      </c>
    </row>
    <row r="54" spans="1:27" ht="15" x14ac:dyDescent="0.25">
      <c r="A54" t="s">
        <v>95</v>
      </c>
      <c r="B54" t="s">
        <v>95</v>
      </c>
      <c r="C54" s="2" t="s">
        <v>96</v>
      </c>
      <c r="D54" t="s">
        <v>630</v>
      </c>
      <c r="E54" t="s">
        <v>631</v>
      </c>
      <c r="F54" s="2" t="s">
        <v>112</v>
      </c>
      <c r="G54" s="2" t="s">
        <v>900</v>
      </c>
      <c r="H54" s="2" t="s">
        <v>900</v>
      </c>
      <c r="I54" s="2"/>
      <c r="J54" s="2"/>
      <c r="K54" s="2"/>
      <c r="L54" s="2"/>
      <c r="M54" s="2"/>
      <c r="N54" s="2"/>
      <c r="O54" s="2"/>
      <c r="P54" s="2"/>
      <c r="Q54" s="2"/>
      <c r="R54" s="2"/>
      <c r="S54" s="2" t="s">
        <v>18</v>
      </c>
      <c r="T54" s="2"/>
      <c r="U54" s="2"/>
      <c r="V54" s="2"/>
      <c r="W54" s="3" t="str">
        <f>CONCATENATE("var js",Table1[[#This Row],[IDs]]," = document.getElementbyId('",Table1[[#This Row],[IDs]],"').innerHTML; //  ",Table1[[#This Row],[Site]])</f>
        <v>var jsA35 = document.getElementbyId('A35').innerHTML; //  Army Training and Certification Tracking System</v>
      </c>
      <c r="X54" s="1" t="str">
        <f t="shared" si="2"/>
        <v xml:space="preserve">        &lt;!--Army Training and Certification Tracking System - https://atc.us.army.mil/iastar/ --&gt;&lt;div class='column catAll catMilEd' style='margin-bottom: 0px;' id='A35'&gt;&lt;a href='https://atc.us.army.mil/iastar/' rel='noopener noreferrer' class='column hideMarquee'&gt;&lt;div class='armyCardContainer card'&gt;&lt;div class='armyCard'&gt;&lt;div&gt;&lt;p class='marquee'&gt;The Army Training and Certification Tracking System provides managers at all levels a capability to report and manage their IA Workforce and General User population training and certification statistics and a summary report of certification voucher distribution.&lt;/p&gt;&lt;img src='assets/Card-032.jpeg' class='cardImage' loading='lazy'&gt;&lt;/div&gt;&lt;div class='title'&gt;
          &lt;span&gt;Army Training and Certification Tracking System&lt;/span&gt;&lt;/div&gt;&lt;/div&gt;&lt;/div&gt;&lt;/a&gt;&lt;/div&gt;&lt;script&gt;var jsA35 = document.getElementById('A35').innerHTML;&lt;/script&gt;</v>
      </c>
      <c r="Y5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Training and Certification Tracking System - https://atc.us.army.mil/iastar/ --&gt;
      &lt;summary&gt;• &lt;a href='https://atc.us.army.mil/iastar/' rel='noopener noreferrer'&gt;Army Training and Certification Tracking System - https://atc.us.army.mil/iastar/&lt;/a&gt;&lt;/summary&gt;
      &lt;p&gt;The Army Training and Certification Tracking System provides managers at all levels a capability to report and manage their IA Workforce and General User population training and certification statistics and a summary report of certification voucher distribution.&lt;/p&gt;
    &lt;/details&gt;</v>
      </c>
      <c r="Z54" s="1" t="str">
        <f t="shared" si="1"/>
        <v xml:space="preserve">          &lt;!-- Army Training and Certification Tracking System - https://atc.us.army.mil/iastar/ --&gt;&lt;div id='dragA35' class='catAll catMilEd'&gt;&lt;div class='column hideMarquee' draggable='true' ondragstart='drag(event)' value='A35' id='A35'&gt;&lt;div class='armyCardContainer ssCard'&gt;&lt;div class='ssArmyCard'&gt;&lt;div&gt;&lt;p class='marquee'&gt;The Army Training and Certification Tracking System provides managers at all levels a capability to report and manage their IA Workforce and General User population training and certification statistics and a summary report of certification voucher distribution.&lt;/p&gt;&lt;img src='assets/Card-032.jpeg' class='ssCardImage' draggable='false' loading='lazy'&gt;&lt;/div&gt;&lt;div class='ssTitle'&gt;&lt;span id='A35Title'&gt;Army Training and Certification Tracking System&lt;/span&gt;&lt;/div&gt;&lt;/div&gt;&lt;/div&gt;&lt;/div&gt;&lt;/div&gt;&lt;script&gt;var jsA35 = document.getElementById('dragA35').innerHTML;&lt;/script&gt;</v>
      </c>
      <c r="AA54" s="1" t="str">
        <f>CONCATENATE("var js",Table1[[#This Row],[IDs]]," = document.getElementbyId('drag",Table1[[#This Row],[IDs]],"').innerHTML; //  ",Table1[[#This Row],[Site]])</f>
        <v>var jsA35 = document.getElementbyId('dragA35').innerHTML; //  Army Training and Certification Tracking System</v>
      </c>
    </row>
    <row r="55" spans="1:27" ht="15" x14ac:dyDescent="0.25">
      <c r="A55" t="s">
        <v>98</v>
      </c>
      <c r="B55" t="s">
        <v>98</v>
      </c>
      <c r="C55" s="10" t="s">
        <v>99</v>
      </c>
      <c r="D55" t="s">
        <v>633</v>
      </c>
      <c r="E55" t="s">
        <v>632</v>
      </c>
      <c r="F55" s="2" t="s">
        <v>391</v>
      </c>
      <c r="G55" s="2" t="s">
        <v>900</v>
      </c>
      <c r="H55" s="2" t="s">
        <v>900</v>
      </c>
      <c r="I55" s="2"/>
      <c r="J55" s="2"/>
      <c r="K55" s="2"/>
      <c r="L55" s="2"/>
      <c r="M55" s="2"/>
      <c r="N55" s="2"/>
      <c r="O55" s="2"/>
      <c r="P55" s="2"/>
      <c r="Q55" s="2"/>
      <c r="R55" s="2"/>
      <c r="S55" s="2" t="s">
        <v>18</v>
      </c>
      <c r="T55" s="2"/>
      <c r="U55" s="2"/>
      <c r="V55" s="2"/>
      <c r="W55" s="3" t="str">
        <f>CONCATENATE("var js",Table1[[#This Row],[IDs]]," = document.getElementbyId('",Table1[[#This Row],[IDs]],"').innerHTML; //  ",Table1[[#This Row],[Site]])</f>
        <v>var jsA36 = document.getElementbyId('A36').innerHTML; //  Army Training Information System</v>
      </c>
      <c r="X55" s="1" t="str">
        <f t="shared" si="2"/>
        <v xml:space="preserve">        &lt;!--Army Training Information System - https://www.atis.army.mil/Index.html --&gt;&lt;div class='column catAll catMilEd' style='margin-bottom: 0px;' id='A36'&gt;&lt;a href='https://www.atis.army.mil/Index.html' rel='noopener noreferrer' class='column hideMarquee'&gt;&lt;div class='armyCardContainer card'&gt;&lt;div class='armyCard'&gt;&lt;div&gt;&lt;p class='marquee'&gt;The Army Training Information System is a fully automated, centralized system providing a Common Operating Picture (COP) for all Army component Soldiers, Leaders, and Civilians to plan, prepare, execute, and assess training.&lt;/p&gt;&lt;img src='assets/Card-052.png' class='cardImage' loading='lazy'&gt;&lt;/div&gt;&lt;div class='title'&gt;
          &lt;span&gt;Army Training Information System&lt;/span&gt;&lt;/div&gt;&lt;/div&gt;&lt;/div&gt;&lt;/a&gt;&lt;/div&gt;&lt;script&gt;var jsA36 = document.getElementById('A36').innerHTML;&lt;/script&gt;</v>
      </c>
      <c r="Y5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Training Information System - https://www.atis.army.mil/Index.html --&gt;
      &lt;summary&gt;• &lt;a href='https://www.atis.army.mil/Index.html' rel='noopener noreferrer'&gt;Army Training Information System - https://www.atis.army.mil/Index.html&lt;/a&gt;&lt;/summary&gt;
      &lt;p&gt;The Army Training Information System is a fully automated, centralized system providing a Common Operating Picture (COP) for all Army component Soldiers, Leaders, and Civilians to plan, prepare, execute, and assess training.&lt;/p&gt;
    &lt;/details&gt;</v>
      </c>
      <c r="Z55" s="1" t="str">
        <f t="shared" si="1"/>
        <v xml:space="preserve">          &lt;!-- Army Training Information System - https://www.atis.army.mil/Index.html --&gt;&lt;div id='dragA36' class='catAll catMilEd'&gt;&lt;div class='column hideMarquee' draggable='true' ondragstart='drag(event)' value='A36' id='A36'&gt;&lt;div class='armyCardContainer ssCard'&gt;&lt;div class='ssArmyCard'&gt;&lt;div&gt;&lt;p class='marquee'&gt;The Army Training Information System is a fully automated, centralized system providing a Common Operating Picture (COP) for all Army component Soldiers, Leaders, and Civilians to plan, prepare, execute, and assess training.&lt;/p&gt;&lt;img src='assets/Card-052.png' class='ssCardImage' draggable='false' loading='lazy'&gt;&lt;/div&gt;&lt;div class='ssTitle'&gt;&lt;span id='A36Title'&gt;Army Training Information System&lt;/span&gt;&lt;/div&gt;&lt;/div&gt;&lt;/div&gt;&lt;/div&gt;&lt;/div&gt;&lt;script&gt;var jsA36 = document.getElementById('dragA36').innerHTML;&lt;/script&gt;</v>
      </c>
      <c r="AA55" s="1" t="str">
        <f>CONCATENATE("var js",Table1[[#This Row],[IDs]]," = document.getElementbyId('drag",Table1[[#This Row],[IDs]],"').innerHTML; //  ",Table1[[#This Row],[Site]])</f>
        <v>var jsA36 = document.getElementbyId('dragA36').innerHTML; //  Army Training Information System</v>
      </c>
    </row>
    <row r="56" spans="1:27" ht="15" x14ac:dyDescent="0.25">
      <c r="A56" t="s">
        <v>101</v>
      </c>
      <c r="B56" t="s">
        <v>101</v>
      </c>
      <c r="C56" s="2" t="s">
        <v>102</v>
      </c>
      <c r="D56" t="s">
        <v>635</v>
      </c>
      <c r="E56" t="s">
        <v>634</v>
      </c>
      <c r="F56" s="2" t="s">
        <v>392</v>
      </c>
      <c r="G56" s="2" t="s">
        <v>900</v>
      </c>
      <c r="H56" s="2" t="s">
        <v>552</v>
      </c>
      <c r="I56" s="2"/>
      <c r="J56" s="2"/>
      <c r="K56" s="2"/>
      <c r="L56" s="2"/>
      <c r="M56" s="2"/>
      <c r="N56" s="2"/>
      <c r="O56" s="2"/>
      <c r="P56" s="2"/>
      <c r="Q56" s="2"/>
      <c r="R56" s="2"/>
      <c r="S56" s="2" t="s">
        <v>18</v>
      </c>
      <c r="T56" s="2"/>
      <c r="U56" s="2"/>
      <c r="V56" s="2"/>
      <c r="W56" s="3" t="str">
        <f>CONCATENATE("var js",Table1[[#This Row],[IDs]]," = document.getElementbyId('",Table1[[#This Row],[IDs]],"').innerHTML; //  ",Table1[[#This Row],[Site]])</f>
        <v>var jsA37 = document.getElementbyId('A37').innerHTML; //  Army Training Network</v>
      </c>
      <c r="X56" s="1" t="str">
        <f t="shared" si="2"/>
        <v xml:space="preserve">        &lt;!--Army Training Network - https://atn.army.mil/ --&gt;&lt;div class='column catAll catMilEd' style='margin-bottom: 0px;' id='A37'&gt;&lt;a href='https://atn.army.mil/' rel='noopener noreferrer' class='column hideMarquee'&gt;&lt;div class='armyCardContainer card'&gt;&lt;div class='armyCard'&gt;&lt;div&gt;&lt;p class='marquee'&gt;The Army Training Network (ATN) is a secure, web-based portal that provides access to training and education resources. It is the Army's primary delivery platform for training and training management: doctrine, tools, products, and services.&lt;/p&gt;&lt;img src='assets/CaCRequired.png' title='A CAC is required to use some or all features of this site!' Class='cacLocked'&gt;&lt;img src='assets/Card-071.png' class='cardImage' loading='lazy'&gt;&lt;/div&gt;&lt;div class='title'&gt;
          &lt;span&gt;Army Training Network&lt;/span&gt;&lt;/div&gt;&lt;/div&gt;&lt;/div&gt;&lt;/a&gt;&lt;/div&gt;&lt;script&gt;var jsA37 = document.getElementById('A37').innerHTML;&lt;/script&gt;</v>
      </c>
      <c r="Y5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Training Network - https://atn.army.mil/ --&gt;
      &lt;summary&gt;• &lt;a href='https://atn.army.mil/' rel='noopener noreferrer'&gt;Army Training Network - https://atn.army.mil/&lt;/a&gt;&lt;/summary&gt;
      &lt;p&gt;The Army Training Network (ATN) is a secure, web-based portal that provides access to training and education resources. It is the Army's primary delivery platform for training and training management: doctrine, tools, products, and services.&lt;/p&gt;
    &lt;/details&gt;</v>
      </c>
      <c r="Z56" s="1" t="str">
        <f t="shared" si="1"/>
        <v xml:space="preserve">          &lt;!-- Army Training Network - https://atn.army.mil/ --&gt;&lt;div id='dragA37' class='catAll catMilEd'&gt;&lt;div class='column hideMarquee' draggable='true' ondragstart='drag(event)' value='A37' id='A37'&gt;&lt;div class='armyCardContainer ssCard'&gt;&lt;div class='ssArmyCard'&gt;&lt;div&gt;&lt;p class='marquee'&gt;The Army Training Network (ATN) is a secure, web-based portal that provides access to training and education resources. It is the Army's primary delivery platform for training and training management: doctrine, tools, products, and services.&lt;/p&gt;&lt;img src='assets/Card-071.png' class='ssCardImage' draggable='false' loading='lazy'&gt;&lt;/div&gt;&lt;div class='ssTitle'&gt;&lt;span id='A37Title'&gt;Army Training Network&lt;/span&gt;&lt;/div&gt;&lt;/div&gt;&lt;/div&gt;&lt;/div&gt;&lt;/div&gt;&lt;script&gt;var jsA37 = document.getElementById('dragA37').innerHTML;&lt;/script&gt;</v>
      </c>
      <c r="AA56" s="1" t="str">
        <f>CONCATENATE("var js",Table1[[#This Row],[IDs]]," = document.getElementbyId('drag",Table1[[#This Row],[IDs]],"').innerHTML; //  ",Table1[[#This Row],[Site]])</f>
        <v>var jsA37 = document.getElementbyId('dragA37').innerHTML; //  Army Training Network</v>
      </c>
    </row>
    <row r="57" spans="1:27" ht="15" x14ac:dyDescent="0.25">
      <c r="A57" t="s">
        <v>104</v>
      </c>
      <c r="B57" t="s">
        <v>104</v>
      </c>
      <c r="C57" s="10" t="s">
        <v>494</v>
      </c>
      <c r="D57" t="s">
        <v>637</v>
      </c>
      <c r="E57" t="s">
        <v>636</v>
      </c>
      <c r="F57" s="2" t="s">
        <v>393</v>
      </c>
      <c r="G57" s="2" t="s">
        <v>552</v>
      </c>
      <c r="H57" s="2" t="s">
        <v>552</v>
      </c>
      <c r="I57" s="2"/>
      <c r="J57" s="2"/>
      <c r="K57" s="2"/>
      <c r="L57" s="2"/>
      <c r="M57" s="2"/>
      <c r="N57" s="2"/>
      <c r="O57" s="2"/>
      <c r="P57" s="2"/>
      <c r="Q57" s="2" t="s">
        <v>18</v>
      </c>
      <c r="R57" s="2"/>
      <c r="S57" s="2" t="s">
        <v>18</v>
      </c>
      <c r="T57" s="2"/>
      <c r="U57" s="2"/>
      <c r="V57" s="2"/>
      <c r="W57" s="3" t="str">
        <f>CONCATENATE("var js",Table1[[#This Row],[IDs]]," = document.getElementbyId('",Table1[[#This Row],[IDs]],"').innerHTML; //  ",Table1[[#This Row],[Site]])</f>
        <v>var jsA38 = document.getElementbyId('A38').innerHTML; //  Army Training Requirements and Resources System (ATRRS)</v>
      </c>
      <c r="X57" s="1" t="str">
        <f t="shared" si="2"/>
        <v xml:space="preserve">        &lt;!--Army Training Requirements and Resources System (ATRRS) - https://atrrs.army.mil/ --&gt;&lt;div class='column catAll catProDev catMilEd' style='margin-bottom: 0px;' id='A38'&gt;&lt;a href='https://atrrs.army.mil/' rel='noopener noreferrer' class='column hideMarquee'&gt;&lt;div class='armyCardContainer card'&gt;&lt;div class='armyCard'&gt;&lt;div&gt;&lt;p class='marquee'&gt;The Army Training Requirements and Resources System is a system part of the United States Army that keeps a record of student participation, manages class schedules, designates class quotas, and makes seat reservations.&lt;/p&gt;&lt;img src='assets/CaCRequired.png' title='A CAC is required to use some or all features of this site!' Class='cacLocked'&gt;&lt;img src='assets/DODlock.png' title='This Site requires a DoD network connection to be used!' Class='dodLocked'&gt;&lt;img src='assets/Card-073.png' class='cardImage' loading='lazy'&gt;&lt;/div&gt;&lt;div class='title'&gt;
          &lt;span&gt;Army Training Requirements and Resources System (ATRRS)&lt;/span&gt;&lt;/div&gt;&lt;/div&gt;&lt;/div&gt;&lt;/a&gt;&lt;/div&gt;&lt;script&gt;var jsA38 = document.getElementById('A38').innerHTML;&lt;/script&gt;</v>
      </c>
      <c r="Y5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Training Requirements and Resources System (ATRRS) - https://atrrs.army.mil/ --&gt;
      &lt;summary&gt;• &lt;a href='https://atrrs.army.mil/' rel='noopener noreferrer'&gt;Army Training Requirements and Resources System (ATRRS) - https://atrrs.army.mil/&lt;/a&gt;&lt;/summary&gt;
      &lt;p&gt;The Army Training Requirements and Resources System is a system part of the United States Army that keeps a record of student participation, manages class schedules, designates class quotas, and makes seat reservations.&lt;/p&gt;
    &lt;/details&gt;</v>
      </c>
      <c r="Z57" s="1" t="str">
        <f t="shared" si="1"/>
        <v xml:space="preserve">          &lt;!-- Army Training Requirements and Resources System (ATRRS) - https://atrrs.army.mil/ --&gt;&lt;div id='dragA38' class='catAll catProDev catMilEd'&gt;&lt;div class='column hideMarquee' draggable='true' ondragstart='drag(event)' value='A38' id='A38'&gt;&lt;div class='armyCardContainer ssCard'&gt;&lt;div class='ssArmyCard'&gt;&lt;div&gt;&lt;p class='marquee'&gt;The Army Training Requirements and Resources System is a system part of the United States Army that keeps a record of student participation, manages class schedules, designates class quotas, and makes seat reservations.&lt;/p&gt;&lt;img src='assets/Card-073.png' class='ssCardImage' draggable='false' loading='lazy'&gt;&lt;/div&gt;&lt;div class='ssTitle'&gt;&lt;span id='A38Title'&gt;Army Training Requirements and Resources System (ATRRS)&lt;/span&gt;&lt;/div&gt;&lt;/div&gt;&lt;/div&gt;&lt;/div&gt;&lt;/div&gt;&lt;script&gt;var jsA38 = document.getElementById('dragA38').innerHTML;&lt;/script&gt;</v>
      </c>
      <c r="AA57" s="1" t="str">
        <f>CONCATENATE("var js",Table1[[#This Row],[IDs]]," = document.getElementbyId('drag",Table1[[#This Row],[IDs]],"').innerHTML; //  ",Table1[[#This Row],[Site]])</f>
        <v>var jsA38 = document.getElementbyId('dragA38').innerHTML; //  Army Training Requirements and Resources System (ATRRS)</v>
      </c>
    </row>
    <row r="58" spans="1:27" ht="15" x14ac:dyDescent="0.25">
      <c r="A58" t="s">
        <v>106</v>
      </c>
      <c r="B58" t="s">
        <v>106</v>
      </c>
      <c r="C58" s="2" t="s">
        <v>107</v>
      </c>
      <c r="D58" t="s">
        <v>623</v>
      </c>
      <c r="E58" t="s">
        <v>638</v>
      </c>
      <c r="F58" s="2" t="s">
        <v>394</v>
      </c>
      <c r="G58" s="2" t="s">
        <v>900</v>
      </c>
      <c r="H58" s="2" t="s">
        <v>900</v>
      </c>
      <c r="I58" s="2"/>
      <c r="J58" s="2"/>
      <c r="K58" s="2"/>
      <c r="L58" s="2"/>
      <c r="M58" s="2"/>
      <c r="N58" s="2" t="s">
        <v>18</v>
      </c>
      <c r="O58" s="2"/>
      <c r="P58" s="2"/>
      <c r="Q58" s="2"/>
      <c r="R58" s="2"/>
      <c r="S58" s="2"/>
      <c r="T58" s="2"/>
      <c r="U58" s="2"/>
      <c r="V58" s="2"/>
      <c r="W58" s="3" t="str">
        <f>CONCATENATE("var js",Table1[[#This Row],[IDs]]," = document.getElementbyId('",Table1[[#This Row],[IDs]],"').innerHTML; //  ",Table1[[#This Row],[Site]])</f>
        <v>var jsA39 = document.getElementbyId('A39').innerHTML; //  Army Veterinary Corps</v>
      </c>
      <c r="X58" s="1" t="str">
        <f t="shared" si="2"/>
        <v xml:space="preserve">        &lt;!--Army Veterinary Corps - https://veterinarycorps.amedd.army.mil/ --&gt;&lt;div class='column catAll catHealth' style='margin-bottom: 0px;' id='A39'&gt;&lt;a href='https://veterinarycorps.amedd.army.mil/' rel='noopener noreferrer' class='column hideMarquee'&gt;&lt;div class='armyCardContainer card'&gt;&lt;div class='armyCard'&gt;&lt;div&gt;&lt;p class='marquee'&gt;The U.S. Army Veterinary Corps is a staff corps of the U.S. Army Medical Department consisting of commissioned veterinary officers and Health Professions Scholarship Program veterinary students.&lt;/p&gt;&lt;img src='assets/Card-001.png' class='cardImage' loading='lazy'&gt;&lt;/div&gt;&lt;div class='title'&gt;
          &lt;span&gt;Army Veterinary Corps&lt;/span&gt;&lt;/div&gt;&lt;/div&gt;&lt;/div&gt;&lt;/a&gt;&lt;/div&gt;&lt;script&gt;var jsA39 = document.getElementById('A39').innerHTML;&lt;/script&gt;</v>
      </c>
      <c r="Y5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Veterinary Corps - https://veterinarycorps.amedd.army.mil/ --&gt;
      &lt;summary&gt;• &lt;a href='https://veterinarycorps.amedd.army.mil/' rel='noopener noreferrer'&gt;Army Veterinary Corps - https://veterinarycorps.amedd.army.mil/&lt;/a&gt;&lt;/summary&gt;
      &lt;p&gt;The U.S. Army Veterinary Corps is a staff corps of the U.S. Army Medical Department consisting of commissioned veterinary officers and Health Professions Scholarship Program veterinary students.&lt;/p&gt;
    &lt;/details&gt;</v>
      </c>
      <c r="Z58" s="1" t="str">
        <f t="shared" si="1"/>
        <v xml:space="preserve">          &lt;!-- Army Veterinary Corps - https://veterinarycorps.amedd.army.mil/ --&gt;&lt;div id='dragA39' class='catAll catHealth'&gt;&lt;div class='column hideMarquee' draggable='true' ondragstart='drag(event)' value='A39' id='A39'&gt;&lt;div class='armyCardContainer ssCard'&gt;&lt;div class='ssArmyCard'&gt;&lt;div&gt;&lt;p class='marquee'&gt;The U.S. Army Veterinary Corps is a staff corps of the U.S. Army Medical Department consisting of commissioned veterinary officers and Health Professions Scholarship Program veterinary students.&lt;/p&gt;&lt;img src='assets/Card-001.png' class='ssCardImage' draggable='false' loading='lazy'&gt;&lt;/div&gt;&lt;div class='ssTitle'&gt;&lt;span id='A39Title'&gt;Army Veterinary Corps&lt;/span&gt;&lt;/div&gt;&lt;/div&gt;&lt;/div&gt;&lt;/div&gt;&lt;/div&gt;&lt;script&gt;var jsA39 = document.getElementById('dragA39').innerHTML;&lt;/script&gt;</v>
      </c>
      <c r="AA58" s="1" t="str">
        <f>CONCATENATE("var js",Table1[[#This Row],[IDs]]," = document.getElementbyId('drag",Table1[[#This Row],[IDs]],"').innerHTML; //  ",Table1[[#This Row],[Site]])</f>
        <v>var jsA39 = document.getElementbyId('dragA39').innerHTML; //  Army Veterinary Corps</v>
      </c>
    </row>
    <row r="59" spans="1:27" ht="15" x14ac:dyDescent="0.25">
      <c r="A59" t="s">
        <v>877</v>
      </c>
      <c r="B59" t="s">
        <v>877</v>
      </c>
      <c r="C59" s="2" t="s">
        <v>55</v>
      </c>
      <c r="D59" t="s">
        <v>601</v>
      </c>
      <c r="E59" t="s">
        <v>600</v>
      </c>
      <c r="F59" s="2" t="s">
        <v>74</v>
      </c>
      <c r="G59" s="2" t="s">
        <v>900</v>
      </c>
      <c r="H59" s="2" t="s">
        <v>552</v>
      </c>
      <c r="I59" s="2"/>
      <c r="J59" s="2"/>
      <c r="K59" s="2"/>
      <c r="L59" s="2" t="s">
        <v>18</v>
      </c>
      <c r="M59" s="2"/>
      <c r="N59" s="2"/>
      <c r="O59" s="2"/>
      <c r="P59" s="2"/>
      <c r="Q59" s="2"/>
      <c r="R59" s="2"/>
      <c r="S59" s="2"/>
      <c r="T59" s="2"/>
      <c r="U59" s="2"/>
      <c r="V59" s="2"/>
      <c r="W59" s="3" t="str">
        <f>CONCATENATE("var js",Table1[[#This Row],[IDs]]," = document.getElementbyId('",Table1[[#This Row],[IDs]],"').innerHTML; //  ",Table1[[#This Row],[Site]])</f>
        <v>var jsA20 = document.getElementbyId('A20').innerHTML; //  Army Virtiual Soldier and Family Readiness Group (VSFRG)</v>
      </c>
      <c r="X59" s="1" t="str">
        <f t="shared" si="2"/>
        <v xml:space="preserve">        &lt;!--Army Virtiual Soldier and Family Readiness Group (VSFRG) - https://vsfrg.armyfamilywebportal.com/ --&gt;&lt;div class='column catAll catFamily' style='margin-bottom: 0px;' id='A20'&gt;&lt;a href='https://vsfrg.armyfamilywebportal.com/' rel='noopener noreferrer' class='column hideMarquee'&gt;&lt;div class='armyCardContainer card'&gt;&lt;div class='armyCard'&gt;&lt;div&gt;&lt;p class='marquee'&gt;Army Family Readiness Group (FRG) is a command-sponsored organization of family members, volunteers, soldiers, and civilian employees associated with a particular unit within the United States Army, the United States Army Reserve, and the Army National Guard communities.&lt;/p&gt;&lt;img src='assets/CaCRequired.png' title='A CAC is required to use some or all features of this site!' Class='cacLocked'&gt;&lt;img src='assets/Card-029.png' class='cardImage' loading='lazy'&gt;&lt;/div&gt;&lt;div class='title'&gt;
          &lt;span&gt;Army Virtiual Soldier and Family Readiness Group (VSFRG)&lt;/span&gt;&lt;/div&gt;&lt;/div&gt;&lt;/div&gt;&lt;/a&gt;&lt;/div&gt;&lt;script&gt;var jsA20 = document.getElementById('A20').innerHTML;&lt;/script&gt;</v>
      </c>
      <c r="Y5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Army Virtiual Soldier and Family Readiness Group (VSFRG) - https://vsfrg.armyfamilywebportal.com/ --&gt;
      &lt;summary&gt;• &lt;a href='https://vsfrg.armyfamilywebportal.com/' rel='noopener noreferrer'&gt;Army Virtiual Soldier and Family Readiness Group (VSFRG) - https://vsfrg.armyfamilywebportal.com/&lt;/a&gt;&lt;/summary&gt;
      &lt;p&gt;Army Family Readiness Group (FRG) is a command-sponsored organization of family members, volunteers, soldiers, and civilian employees associated with a particular unit within the United States Army, the United States Army Reserve, and the Army National Guard communities.&lt;/p&gt;
    &lt;/details&gt;</v>
      </c>
      <c r="Z59" s="1" t="str">
        <f t="shared" si="1"/>
        <v xml:space="preserve">          &lt;!-- Army Virtiual Soldier and Family Readiness Group (VSFRG) - https://vsfrg.armyfamilywebportal.com/ --&gt;&lt;div id='dragA20' class='catAll catFamily'&gt;&lt;div class='column hideMarquee' draggable='true' ondragstart='drag(event)' value='A20' id='A20'&gt;&lt;div class='armyCardContainer ssCard'&gt;&lt;div class='ssArmyCard'&gt;&lt;div&gt;&lt;p class='marquee'&gt;Army Family Readiness Group (FRG) is a command-sponsored organization of family members, volunteers, soldiers, and civilian employees associated with a particular unit within the United States Army, the United States Army Reserve, and the Army National Guard communities.&lt;/p&gt;&lt;img src='assets/Card-029.png' class='ssCardImage' draggable='false' loading='lazy'&gt;&lt;/div&gt;&lt;div class='ssTitle'&gt;&lt;span id='A20Title'&gt;Army Virtiual Soldier and Family Readiness Group (VSFRG)&lt;/span&gt;&lt;/div&gt;&lt;/div&gt;&lt;/div&gt;&lt;/div&gt;&lt;/div&gt;&lt;script&gt;var jsA20 = document.getElementById('dragA20').innerHTML;&lt;/script&gt;</v>
      </c>
      <c r="AA59" s="1" t="str">
        <f>CONCATENATE("var js",Table1[[#This Row],[IDs]]," = document.getElementbyId('drag",Table1[[#This Row],[IDs]],"').innerHTML; //  ",Table1[[#This Row],[Site]])</f>
        <v>var jsA20 = document.getElementbyId('dragA20').innerHTML; //  Army Virtiual Soldier and Family Readiness Group (VSFRG)</v>
      </c>
    </row>
    <row r="60" spans="1:27" ht="15" x14ac:dyDescent="0.25">
      <c r="A60" t="s">
        <v>111</v>
      </c>
      <c r="B60" t="s">
        <v>111</v>
      </c>
      <c r="C60" s="2" t="s">
        <v>360</v>
      </c>
      <c r="D60" t="s">
        <v>642</v>
      </c>
      <c r="E60" t="s">
        <v>640</v>
      </c>
      <c r="F60" s="2" t="s">
        <v>395</v>
      </c>
      <c r="G60" s="2" t="s">
        <v>552</v>
      </c>
      <c r="H60" s="2" t="s">
        <v>552</v>
      </c>
      <c r="I60" s="2" t="s">
        <v>18</v>
      </c>
      <c r="J60" s="2"/>
      <c r="K60" s="2"/>
      <c r="L60" s="2"/>
      <c r="M60" s="2"/>
      <c r="N60" s="2"/>
      <c r="O60" s="2" t="s">
        <v>18</v>
      </c>
      <c r="P60" s="2"/>
      <c r="Q60" s="2" t="s">
        <v>18</v>
      </c>
      <c r="R60" s="2"/>
      <c r="S60" s="2"/>
      <c r="T60" s="2"/>
      <c r="U60" s="2"/>
      <c r="V60" s="2"/>
      <c r="W60" s="3" t="str">
        <f>CONCATENATE("var js",Table1[[#This Row],[IDs]]," = document.getElementbyId('",Table1[[#This Row],[IDs]],"').innerHTML; //  ",Table1[[#This Row],[Site]])</f>
        <v>var jsA40 = document.getElementbyId('A40').innerHTML; //  Assignment Satisfaction Key</v>
      </c>
      <c r="X60" s="1" t="str">
        <f t="shared" si="2"/>
        <v xml:space="preserve">        &lt;!--Assignment Satisfaction Key - https://www.ask.army.mil/ask --&gt;&lt;div class='column catAll catArmySites catHuman catProDev' style='margin-bottom: 0px;' id='A40'&gt;&lt;a href='https://www.ask.army.mil/ask' rel='noopener noreferrer' class='column hideMarquee'&gt;&lt;div class='armyCardContainer card'&gt;&lt;div class='armyCard'&gt;&lt;div&gt;&lt;p class='marquee'&gt;The Assignment Satisfaction Key provides Soldiers the capability for Soldiers to get their hopes up in selecting their assignment only to have their satisfaction fully dissatisfied and their branch manager an idea of where exactly not to send them.&lt;/p&gt;&lt;img src='assets/CaCRequired.png' title='A CAC is required to use some or all features of this site!' Class='cacLocked'&gt;&lt;img src='assets/DODlock.png' title='This Site requires a DoD network connection to be used!' Class='dodLocked'&gt;&lt;img src='assets/Card-008.jpg' class='cardImage' loading='lazy'&gt;&lt;/div&gt;&lt;div class='title'&gt;
          &lt;span&gt;Assignment Satisfaction Key&lt;/span&gt;&lt;/div&gt;&lt;/div&gt;&lt;/div&gt;&lt;/a&gt;&lt;/div&gt;&lt;script&gt;var jsA40 = document.getElementById('A40').innerHTML;&lt;/script&gt;</v>
      </c>
      <c r="Y6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Assignment Satisfaction Key - https://www.ask.army.mil/ask --&gt;
      &lt;summary&gt;• &lt;a href='https://www.ask.army.mil/ask' rel='noopener noreferrer'&gt;Assignment Satisfaction Key - https://www.ask.army.mil/ask&lt;/a&gt;&lt;/summary&gt;
      &lt;p&gt;The Assignment Satisfaction Key provides Soldiers the capability for Soldiers to get their hopes up in selecting their assignment only to have their satisfaction fully dissatisfied and their branch manager an idea of where exactly not to send them.&lt;/p&gt;
    &lt;/details&gt;</v>
      </c>
      <c r="Z60" s="1" t="str">
        <f t="shared" si="1"/>
        <v xml:space="preserve">          &lt;!-- Assignment Satisfaction Key - https://www.ask.army.mil/ask --&gt;&lt;div id='dragA40' class='catAll catArmySites catHuman catProDev'&gt;&lt;div class='column hideMarquee' draggable='true' ondragstart='drag(event)' value='A40' id='A40'&gt;&lt;div class='armyCardContainer ssCard'&gt;&lt;div class='ssArmyCard'&gt;&lt;div&gt;&lt;p class='marquee'&gt;The Assignment Satisfaction Key provides Soldiers the capability for Soldiers to get their hopes up in selecting their assignment only to have their satisfaction fully dissatisfied and their branch manager an idea of where exactly not to send them.&lt;/p&gt;&lt;img src='assets/Card-008.jpg' class='ssCardImage' draggable='false' loading='lazy'&gt;&lt;/div&gt;&lt;div class='ssTitle'&gt;&lt;span id='A40Title'&gt;Assignment Satisfaction Key&lt;/span&gt;&lt;/div&gt;&lt;/div&gt;&lt;/div&gt;&lt;/div&gt;&lt;/div&gt;&lt;script&gt;var jsA40 = document.getElementById('dragA40').innerHTML;&lt;/script&gt;</v>
      </c>
      <c r="AA60" s="1" t="str">
        <f>CONCATENATE("var js",Table1[[#This Row],[IDs]]," = document.getElementbyId('drag",Table1[[#This Row],[IDs]],"').innerHTML; //  ",Table1[[#This Row],[Site]])</f>
        <v>var jsA40 = document.getElementbyId('dragA40').innerHTML; //  Assignment Satisfaction Key</v>
      </c>
    </row>
    <row r="61" spans="1:27" ht="15" x14ac:dyDescent="0.25">
      <c r="A61" t="s">
        <v>113</v>
      </c>
      <c r="B61" t="s">
        <v>113</v>
      </c>
      <c r="C61" s="2" t="s">
        <v>114</v>
      </c>
      <c r="D61" t="s">
        <v>641</v>
      </c>
      <c r="E61" t="s">
        <v>643</v>
      </c>
      <c r="F61" s="2" t="s">
        <v>396</v>
      </c>
      <c r="G61" s="2" t="s">
        <v>900</v>
      </c>
      <c r="H61" s="2" t="s">
        <v>552</v>
      </c>
      <c r="I61" s="2"/>
      <c r="J61" s="2"/>
      <c r="K61" s="2"/>
      <c r="L61" s="2"/>
      <c r="M61" s="2"/>
      <c r="N61" s="2"/>
      <c r="O61" s="2" t="s">
        <v>18</v>
      </c>
      <c r="P61" s="2"/>
      <c r="Q61" s="2"/>
      <c r="R61" s="2"/>
      <c r="S61" s="2"/>
      <c r="T61" s="2"/>
      <c r="U61" s="2"/>
      <c r="V61" s="2"/>
      <c r="W61" s="3" t="str">
        <f>CONCATENATE("var js",Table1[[#This Row],[IDs]]," = document.getElementbyId('",Table1[[#This Row],[IDs]],"').innerHTML; //  ",Table1[[#This Row],[Site]])</f>
        <v>var jsA41 = document.getElementbyId('A41').innerHTML; //  Automated Personal Clothing Request</v>
      </c>
      <c r="X61" s="1" t="str">
        <f t="shared" si="2"/>
        <v xml:space="preserve">        &lt;!--Automated Personal Clothing Request - https://da3078.natick.army.mil/ --&gt;&lt;div class='column catAll catHuman' style='margin-bottom: 0px;' id='A41'&gt;&lt;a href='https://da3078.natick.army.mil/' rel='noopener noreferrer' class='column hideMarquee'&gt;&lt;div class='armyCardContainer card'&gt;&lt;div class='armyCard'&gt;&lt;div&gt;&lt;p class='marquee'&gt;The Automated Personal Clothing Request is a system for processing the DA Form 3078 electronically. It is used to request and authorize clothing bag items not issued during initial Entry Training, as well as replacements, exchanges, gratuitous issue, supplemental issue, and special issue clothing items.&lt;/p&gt;&lt;img src='assets/CaCRequired.png' title='A CAC is required to use some or all features of this site!' Class='cacLocked'&gt;&lt;img src='assets/Card-082.jpg' class='cardImage' loading='lazy'&gt;&lt;/div&gt;&lt;div class='title'&gt;
          &lt;span&gt;Automated Personal Clothing Request&lt;/span&gt;&lt;/div&gt;&lt;/div&gt;&lt;/div&gt;&lt;/a&gt;&lt;/div&gt;&lt;script&gt;var jsA41 = document.getElementById('A41').innerHTML;&lt;/script&gt;</v>
      </c>
      <c r="Y6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Automated Personal Clothing Request - https://da3078.natick.army.mil/ --&gt;
      &lt;summary&gt;• &lt;a href='https://da3078.natick.army.mil/' rel='noopener noreferrer'&gt;Automated Personal Clothing Request - https://da3078.natick.army.mil/&lt;/a&gt;&lt;/summary&gt;
      &lt;p&gt;The Automated Personal Clothing Request is a system for processing the DA Form 3078 electronically. It is used to request and authorize clothing bag items not issued during initial Entry Training, as well as replacements, exchanges, gratuitous issue, supplemental issue, and special issue clothing items.&lt;/p&gt;
    &lt;/details&gt;</v>
      </c>
      <c r="Z61" s="1" t="str">
        <f t="shared" si="1"/>
        <v xml:space="preserve">          &lt;!-- Automated Personal Clothing Request - https://da3078.natick.army.mil/ --&gt;&lt;div id='dragA41' class='catAll catHuman'&gt;&lt;div class='column hideMarquee' draggable='true' ondragstart='drag(event)' value='A41' id='A41'&gt;&lt;div class='armyCardContainer ssCard'&gt;&lt;div class='ssArmyCard'&gt;&lt;div&gt;&lt;p class='marquee'&gt;The Automated Personal Clothing Request is a system for processing the DA Form 3078 electronically. It is used to request and authorize clothing bag items not issued during initial Entry Training, as well as replacements, exchanges, gratuitous issue, supplemental issue, and special issue clothing items.&lt;/p&gt;&lt;img src='assets/Card-082.jpg' class='ssCardImage' draggable='false' loading='lazy'&gt;&lt;/div&gt;&lt;div class='ssTitle'&gt;&lt;span id='A41Title'&gt;Automated Personal Clothing Request&lt;/span&gt;&lt;/div&gt;&lt;/div&gt;&lt;/div&gt;&lt;/div&gt;&lt;/div&gt;&lt;script&gt;var jsA41 = document.getElementById('dragA41').innerHTML;&lt;/script&gt;</v>
      </c>
      <c r="AA61" s="1" t="str">
        <f>CONCATENATE("var js",Table1[[#This Row],[IDs]]," = document.getElementbyId('drag",Table1[[#This Row],[IDs]],"').innerHTML; //  ",Table1[[#This Row],[Site]])</f>
        <v>var jsA41 = document.getElementbyId('dragA41').innerHTML; //  Automated Personal Clothing Request</v>
      </c>
    </row>
    <row r="62" spans="1:27" ht="15" x14ac:dyDescent="0.25">
      <c r="A62" t="s">
        <v>523</v>
      </c>
      <c r="B62" t="s">
        <v>523</v>
      </c>
      <c r="C62" s="10" t="s">
        <v>886</v>
      </c>
      <c r="D62" t="s">
        <v>976</v>
      </c>
      <c r="E62" t="s">
        <v>979</v>
      </c>
      <c r="F62" s="2" t="s">
        <v>939</v>
      </c>
      <c r="G62" s="2" t="s">
        <v>900</v>
      </c>
      <c r="H62" s="2" t="s">
        <v>900</v>
      </c>
      <c r="I62" s="2"/>
      <c r="J62" s="2"/>
      <c r="K62" s="2" t="s">
        <v>18</v>
      </c>
      <c r="L62" s="2"/>
      <c r="M62" s="2"/>
      <c r="N62" s="2"/>
      <c r="O62" s="2"/>
      <c r="P62" s="2"/>
      <c r="Q62" s="2"/>
      <c r="R62" s="2"/>
      <c r="S62" s="2"/>
      <c r="T62" s="2"/>
      <c r="U62" s="2" t="s">
        <v>18</v>
      </c>
      <c r="V62" s="2"/>
      <c r="W62" s="3" t="str">
        <f>CONCATENATE("var js",Table1[[#This Row],[IDs]]," = document.getElementbyId('",Table1[[#This Row],[IDs]],"').innerHTML; //  ",Table1[[#This Row],[Site]])</f>
        <v>var jsB00 = document.getElementbyId('B00').innerHTML; //  Benefits.gov</v>
      </c>
      <c r="X62" s="1" t="str">
        <f t="shared" si="2"/>
        <v xml:space="preserve">        &lt;!--Benefits.gov - https://benefits.gov/ --&gt;&lt;div class='column catAll catDod catUsGov' style='margin-bottom: 0px;' id='B00'&gt;&lt;a href='https://benefits.gov/' rel='noopener noreferrer' class='column hideMarquee'&gt;&lt;div class='armyCardContainer card'&gt;&lt;div class='armyCard'&gt;&lt;div&gt;&lt;p class='marquee'&gt;Benefits.gov is an online resource to help you find federal benefits you may be eligible for in the United States.&lt;/p&gt;&lt;img src='assets/Card-168.png' class='cardImage' loading='lazy'&gt;&lt;/div&gt;&lt;div class='title'&gt;
          &lt;span&gt;Benefits.gov&lt;/span&gt;&lt;/div&gt;&lt;/div&gt;&lt;/div&gt;&lt;/a&gt;&lt;/div&gt;&lt;script&gt;var jsB00 = document.getElementById('B00').innerHTML;&lt;/script&gt;</v>
      </c>
      <c r="Y6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Benefits.gov - https://benefits.gov/ --&gt;
      &lt;summary&gt;• &lt;a href='https://benefits.gov/' rel='noopener noreferrer'&gt;Benefits.gov - https://benefits.gov/&lt;/a&gt;&lt;/summary&gt;
      &lt;p&gt;Benefits.gov is an online resource to help you find federal benefits you may be eligible for in the United States.&lt;/p&gt;
    &lt;/details&gt;</v>
      </c>
      <c r="Z62" s="1" t="str">
        <f t="shared" si="1"/>
        <v xml:space="preserve">          &lt;!-- Benefits.gov - https://benefits.gov/ --&gt;&lt;div id='dragB00' class='catAll catDod catUsGov'&gt;&lt;div class='column hideMarquee' draggable='true' ondragstart='drag(event)' value='B00' id='B00'&gt;&lt;div class='armyCardContainer ssCard'&gt;&lt;div class='ssArmyCard'&gt;&lt;div&gt;&lt;p class='marquee'&gt;Benefits.gov is an online resource to help you find federal benefits you may be eligible for in the United States.&lt;/p&gt;&lt;img src='assets/Card-168.png' class='ssCardImage' draggable='false' loading='lazy'&gt;&lt;/div&gt;&lt;div class='ssTitle'&gt;&lt;span id='B00Title'&gt;Benefits.gov&lt;/span&gt;&lt;/div&gt;&lt;/div&gt;&lt;/div&gt;&lt;/div&gt;&lt;/div&gt;&lt;script&gt;var jsB00 = document.getElementById('dragB00').innerHTML;&lt;/script&gt;</v>
      </c>
      <c r="AA62" s="1" t="str">
        <f>CONCATENATE("var js",Table1[[#This Row],[IDs]]," = document.getElementbyId('drag",Table1[[#This Row],[IDs]],"').innerHTML; //  ",Table1[[#This Row],[Site]])</f>
        <v>var jsB00 = document.getElementbyId('dragB00').innerHTML; //  Benefits.gov</v>
      </c>
    </row>
    <row r="63" spans="1:27" ht="15" x14ac:dyDescent="0.25">
      <c r="A63" t="s">
        <v>486</v>
      </c>
      <c r="B63" t="s">
        <v>486</v>
      </c>
      <c r="C63" s="10" t="s">
        <v>487</v>
      </c>
      <c r="D63" t="s">
        <v>639</v>
      </c>
      <c r="E63"/>
      <c r="F63" s="2" t="s">
        <v>940</v>
      </c>
      <c r="G63" s="2" t="s">
        <v>552</v>
      </c>
      <c r="H63" s="2" t="s">
        <v>552</v>
      </c>
      <c r="I63" s="2"/>
      <c r="J63" s="2"/>
      <c r="K63" s="2"/>
      <c r="L63" s="2"/>
      <c r="M63" s="2"/>
      <c r="N63" s="2"/>
      <c r="O63" s="2"/>
      <c r="P63" s="2"/>
      <c r="Q63" s="2"/>
      <c r="R63" s="2"/>
      <c r="S63" s="2"/>
      <c r="T63" s="2"/>
      <c r="U63" s="2"/>
      <c r="V63" s="2"/>
      <c r="W63" s="3" t="str">
        <f>CONCATENATE("var js",Table1[[#This Row],[IDs]]," = document.getElementbyId('",Table1[[#This Row],[IDs]],"').innerHTML; //  ",Table1[[#This Row],[Site]])</f>
        <v>var jsB01 = document.getElementbyId('B01').innerHTML; //  BMC Remedy ITSM</v>
      </c>
      <c r="X63" s="1" t="str">
        <f t="shared" si="2"/>
        <v xml:space="preserve">        &lt;!--BMC Remedy ITSM - https://www.usa.esms.army.mil/ --&gt;&lt;div class='column catAll' style='margin-bottom: 0px;' id='B01'&gt;&lt;a href='https://www.usa.esms.army.mil/' rel='noopener noreferrer' class='column hideMarquee'&gt;&lt;div class='armyCardContainer card'&gt;&lt;div class='armyCard'&gt;&lt;div&gt;&lt;p class='marquee'&gt;&lt;/p&gt;&lt;img src='assets/CaCRequired.png' title='A CAC is required to use some or all features of this site!' Class='cacLocked'&gt;&lt;img src='assets/DODlock.png' title='This Site requires a DoD network connection to be used!' Class='dodLocked'&gt;&lt;img src='assets/Card-000.gif' class='cardImage' loading='lazy'&gt;&lt;/div&gt;&lt;div class='title'&gt;
          &lt;span&gt;BMC Remedy ITSM&lt;/span&gt;&lt;/div&gt;&lt;/div&gt;&lt;/div&gt;&lt;/a&gt;&lt;/div&gt;&lt;script&gt;var jsB01 = document.getElementById('B01').innerHTML;&lt;/script&gt;</v>
      </c>
      <c r="Y6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BMC Remedy ITSM - https://www.usa.esms.army.mil/ --&gt;
      &lt;summary&gt;• &lt;a href='https://www.usa.esms.army.mil/' rel='noopener noreferrer'&gt;BMC Remedy ITSM - https://www.usa.esms.army.mil/&lt;/a&gt;&lt;/summary&gt;
      &lt;p&gt;&lt;/p&gt;
    &lt;/details&gt;</v>
      </c>
      <c r="Z63" s="1" t="str">
        <f t="shared" si="1"/>
        <v xml:space="preserve">          &lt;!-- BMC Remedy ITSM - https://www.usa.esms.army.mil/ --&gt;&lt;div id='dragB01' class='catAll'&gt;&lt;div class='column hideMarquee' draggable='true' ondragstart='drag(event)' value='B01' id='B01'&gt;&lt;div class='armyCardContainer ssCard'&gt;&lt;div class='ssArmyCard'&gt;&lt;div&gt;&lt;p class='marquee'&gt;&lt;/p&gt;&lt;img src='assets/Card-000.gif' class='ssCardImage' draggable='false' loading='lazy'&gt;&lt;/div&gt;&lt;div class='ssTitle'&gt;&lt;span id='B01Title'&gt;BMC Remedy ITSM&lt;/span&gt;&lt;/div&gt;&lt;/div&gt;&lt;/div&gt;&lt;/div&gt;&lt;/div&gt;&lt;script&gt;var jsB01 = document.getElementById('dragB01').innerHTML;&lt;/script&gt;</v>
      </c>
      <c r="AA63" s="1" t="str">
        <f>CONCATENATE("var js",Table1[[#This Row],[IDs]]," = document.getElementbyId('drag",Table1[[#This Row],[IDs]],"').innerHTML; //  ",Table1[[#This Row],[Site]])</f>
        <v>var jsB01 = document.getElementbyId('dragB01').innerHTML; //  BMC Remedy ITSM</v>
      </c>
    </row>
    <row r="64" spans="1:27" ht="15" x14ac:dyDescent="0.25">
      <c r="A64" s="1" t="s">
        <v>1051</v>
      </c>
      <c r="B64" s="1" t="s">
        <v>1051</v>
      </c>
      <c r="C64" s="9" t="s">
        <v>1052</v>
      </c>
      <c r="D64" s="1" t="s">
        <v>639</v>
      </c>
      <c r="E64" s="1" t="s">
        <v>1053</v>
      </c>
      <c r="F64" s="2"/>
      <c r="G64" s="2" t="s">
        <v>900</v>
      </c>
      <c r="H64" s="2" t="s">
        <v>900</v>
      </c>
      <c r="I64" s="2" t="s">
        <v>480</v>
      </c>
      <c r="J64" s="2"/>
      <c r="K64" s="2"/>
      <c r="L64" s="2"/>
      <c r="M64" s="2"/>
      <c r="N64" s="2" t="s">
        <v>480</v>
      </c>
      <c r="O64" s="2"/>
      <c r="P64" s="2"/>
      <c r="Q64" s="2" t="s">
        <v>480</v>
      </c>
      <c r="R64" s="2"/>
      <c r="S64" s="2"/>
      <c r="T64" s="2"/>
      <c r="U64" s="2"/>
      <c r="V64" s="2"/>
      <c r="W64" s="3" t="str">
        <f>CONCATENATE("var js",Table1[[#This Row],[IDs]]," = document.getElementbyId('",Table1[[#This Row],[IDs]],"').innerHTML; //  ",Table1[[#This Row],[Site]])</f>
        <v>var js = document.getElementbyId('').innerHTML; //  Body Fat Calculator</v>
      </c>
      <c r="X64" s="1" t="str">
        <f t="shared" si="2"/>
        <v xml:space="preserve">        &lt;!--Body Fat Calculator - https://armyresilience.army.mil/abcp/BodyFatCalculator.html --&gt;&lt;div class='column catAll catArmySites catHealth catProDev' style='margin-bottom: 0px;' id=''&gt;&lt;a href='https://armyresilience.army.mil/abcp/BodyFatCalculator.html' rel='noopener noreferrer' class='column hideMarquee'&gt;&lt;div class='armyCardContainer card'&gt;&lt;div class='armyCard'&gt;&lt;div&gt;&lt;p class='marquee'&gt;The new calculator for the Army Body Compsision Program, hosted on Army Resilience&lt;/p&gt;&lt;img src='assets/Card-000.gif' class='cardImage' loading='lazy'&gt;&lt;/div&gt;&lt;div class='title'&gt;
          &lt;span&gt;Body Fat Calculator&lt;/span&gt;&lt;/div&gt;&lt;/div&gt;&lt;/div&gt;&lt;/a&gt;&lt;/div&gt;&lt;script&gt;var js = document.getElementById('').innerHTML;&lt;/script&gt;</v>
      </c>
      <c r="Y6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Body Fat Calculator - https://armyresilience.army.mil/abcp/BodyFatCalculator.html --&gt;
      &lt;summary&gt;• &lt;a href='https://armyresilience.army.mil/abcp/BodyFatCalculator.html' rel='noopener noreferrer'&gt;Body Fat Calculator - https://armyresilience.army.mil/abcp/BodyFatCalculator.html&lt;/a&gt;&lt;/summary&gt;
      &lt;p&gt;The new calculator for the Army Body Compsision Program, hosted on Army Resilience&lt;/p&gt;
    &lt;/details&gt;</v>
      </c>
      <c r="Z64" s="1" t="str">
        <f t="shared" si="1"/>
        <v xml:space="preserve">          &lt;!-- Body Fat Calculator - https://armyresilience.army.mil/abcp/BodyFatCalculator.html --&gt;&lt;div id='drag' class='catAll catArmySites catHealth catProDev'&gt;&lt;div class='column hideMarquee' draggable='true' ondragstart='drag(event)' value='' id=''&gt;&lt;div class='armyCardContainer ssCard'&gt;&lt;div class='ssArmyCard'&gt;&lt;div&gt;&lt;p class='marquee'&gt;The new calculator for the Army Body Compsision Program, hosted on Army Resilience&lt;/p&gt;&lt;img src='assets/Card-000.gif' class='ssCardImage' draggable='false' loading='lazy'&gt;&lt;/div&gt;&lt;div class='ssTitle'&gt;&lt;span id='Title'&gt;Body Fat Calculator&lt;/span&gt;&lt;/div&gt;&lt;/div&gt;&lt;/div&gt;&lt;/div&gt;&lt;/div&gt;&lt;script&gt;var js = document.getElementById('drag').innerHTML;&lt;/script&gt;</v>
      </c>
      <c r="AA64" s="1" t="str">
        <f>CONCATENATE("var js",Table1[[#This Row],[IDs]]," = document.getElementbyId('drag",Table1[[#This Row],[IDs]],"').innerHTML; //  ",Table1[[#This Row],[Site]])</f>
        <v>var js = document.getElementbyId('drag').innerHTML; //  Body Fat Calculator</v>
      </c>
    </row>
    <row r="65" spans="1:27" ht="15" x14ac:dyDescent="0.25">
      <c r="A65" t="s">
        <v>368</v>
      </c>
      <c r="B65" t="s">
        <v>368</v>
      </c>
      <c r="C65" s="6" t="s">
        <v>370</v>
      </c>
      <c r="D65" t="s">
        <v>645</v>
      </c>
      <c r="E65" t="s">
        <v>644</v>
      </c>
      <c r="F65" s="2" t="s">
        <v>117</v>
      </c>
      <c r="G65" s="2" t="s">
        <v>900</v>
      </c>
      <c r="H65" s="2" t="s">
        <v>552</v>
      </c>
      <c r="I65" s="2"/>
      <c r="J65" s="2"/>
      <c r="K65" s="2"/>
      <c r="L65" s="2"/>
      <c r="M65" s="2"/>
      <c r="N65" s="2"/>
      <c r="O65" s="2"/>
      <c r="P65" s="2"/>
      <c r="Q65" s="2"/>
      <c r="R65" s="2"/>
      <c r="S65" s="2" t="s">
        <v>18</v>
      </c>
      <c r="T65" s="2"/>
      <c r="U65" s="2"/>
      <c r="V65" s="2"/>
      <c r="W65" s="3" t="str">
        <f>CONCATENATE("var js",Table1[[#This Row],[IDs]]," = document.getElementbyId('",Table1[[#This Row],[IDs]],"').innerHTML; //  ",Table1[[#This Row],[Site]])</f>
        <v>var jsC00 = document.getElementbyId('C00').innerHTML; //  Career Acquisition Management Portal</v>
      </c>
      <c r="X65" s="1" t="str">
        <f t="shared" si="2"/>
        <v xml:space="preserve">        &lt;!--Career Acquisition Management Portal - https://apps.asc.army.mil/camp --&gt;&lt;div class='column catAll catMilEd' style='margin-bottom: 0px;' id='C00'&gt;&lt;a href='https://apps.asc.army.mil/camp' rel='noopener noreferrer' class='column hideMarquee'&gt;&lt;div class='armyCardContainer card'&gt;&lt;div class='armyCard'&gt;&lt;div&gt;&lt;p class='marquee'&gt;CAMP is the Career Acquisition Management Portal, housing all of the Army DACM Office Applications in one convenient location, and using a single login.&lt;/p&gt;&lt;img src='assets/CaCRequired.png' title='A CAC is required to use some or all features of this site!' Class='cacLocked'&gt;&lt;img src='assets/Card-122.png' class='cardImage' loading='lazy'&gt;&lt;/div&gt;&lt;div class='title'&gt;
          &lt;span&gt;Career Acquisition Management Portal&lt;/span&gt;&lt;/div&gt;&lt;/div&gt;&lt;/div&gt;&lt;/a&gt;&lt;/div&gt;&lt;script&gt;var jsC00 = document.getElementById('C00').innerHTML;&lt;/script&gt;</v>
      </c>
      <c r="Y6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Career Acquisition Management Portal - https://apps.asc.army.mil/camp --&gt;
      &lt;summary&gt;• &lt;a href='https://apps.asc.army.mil/camp' rel='noopener noreferrer'&gt;Career Acquisition Management Portal - https://apps.asc.army.mil/camp&lt;/a&gt;&lt;/summary&gt;
      &lt;p&gt;CAMP is the Career Acquisition Management Portal, housing all of the Army DACM Office Applications in one convenient location, and using a single login.&lt;/p&gt;
    &lt;/details&gt;</v>
      </c>
      <c r="Z65" s="1" t="str">
        <f t="shared" si="1"/>
        <v xml:space="preserve">          &lt;!-- Career Acquisition Management Portal - https://apps.asc.army.mil/camp --&gt;&lt;div id='dragC00' class='catAll catMilEd'&gt;&lt;div class='column hideMarquee' draggable='true' ondragstart='drag(event)' value='C00' id='C00'&gt;&lt;div class='armyCardContainer ssCard'&gt;&lt;div class='ssArmyCard'&gt;&lt;div&gt;&lt;p class='marquee'&gt;CAMP is the Career Acquisition Management Portal, housing all of the Army DACM Office Applications in one convenient location, and using a single login.&lt;/p&gt;&lt;img src='assets/Card-122.png' class='ssCardImage' draggable='false' loading='lazy'&gt;&lt;/div&gt;&lt;div class='ssTitle'&gt;&lt;span id='C00Title'&gt;Career Acquisition Management Portal&lt;/span&gt;&lt;/div&gt;&lt;/div&gt;&lt;/div&gt;&lt;/div&gt;&lt;/div&gt;&lt;script&gt;var jsC00 = document.getElementById('dragC00').innerHTML;&lt;/script&gt;</v>
      </c>
      <c r="AA65" s="1" t="str">
        <f>CONCATENATE("var js",Table1[[#This Row],[IDs]]," = document.getElementbyId('drag",Table1[[#This Row],[IDs]],"').innerHTML; //  ",Table1[[#This Row],[Site]])</f>
        <v>var jsC00 = document.getElementbyId('dragC00').innerHTML; //  Career Acquisition Management Portal</v>
      </c>
    </row>
    <row r="66" spans="1:27" ht="15" x14ac:dyDescent="0.25">
      <c r="A66" t="s">
        <v>115</v>
      </c>
      <c r="B66" t="s">
        <v>115</v>
      </c>
      <c r="C66" s="10" t="s">
        <v>116</v>
      </c>
      <c r="D66" t="s">
        <v>647</v>
      </c>
      <c r="E66" t="s">
        <v>646</v>
      </c>
      <c r="F66" s="2" t="s">
        <v>120</v>
      </c>
      <c r="G66" s="2" t="s">
        <v>900</v>
      </c>
      <c r="H66" s="2" t="s">
        <v>900</v>
      </c>
      <c r="I66" s="2"/>
      <c r="J66" s="2"/>
      <c r="K66" s="2"/>
      <c r="L66" s="2"/>
      <c r="M66" s="2"/>
      <c r="N66" s="2"/>
      <c r="O66" s="2"/>
      <c r="P66" s="2"/>
      <c r="Q66" s="2" t="s">
        <v>18</v>
      </c>
      <c r="R66" s="2"/>
      <c r="S66" s="2"/>
      <c r="T66" s="2"/>
      <c r="U66" s="2"/>
      <c r="V66" s="2"/>
      <c r="W66" s="3" t="str">
        <f>CONCATENATE("var js",Table1[[#This Row],[IDs]]," = document.getElementbyId('",Table1[[#This Row],[IDs]],"').innerHTML; //  ",Table1[[#This Row],[Site]])</f>
        <v>var jsC01 = document.getElementbyId('C01').innerHTML; //  Center for the Army Profession and Leadership (CAPL)</v>
      </c>
      <c r="X66" s="1" t="str">
        <f t="shared" ref="X66:X76" si="3">CONCATENATE("        &lt;!--",A66," - ",C66," --&gt;&lt;div class='column catAll",IF(I66="X"," catArmySites",""),IF(J66="X"," catCombatReadiness",""),IF(K66="X"," catDod",""),IF(L66="X"," catFamily",""),IF(M66="X"," catFinance",""),IF(N66="X"," catHealth",""),IF(O66="X"," catHuman",""),IF(P66="X"," catLegal",""),IF(Q66="X"," catProDev",""),IF(R66="X"," catTech",""),IF(S66="X"," catMilEd",""),IF(T66="X"," catCivEd",""),IF(U66="X"," catUsGov",""),"' style='margin-bottom: 0px;' id='",F66,"'&gt;&lt;a href='",C66,"' rel='noopener noreferrer' class='column hideMarquee'&gt;&lt;div class='armyCardContainer card'&gt;&lt;div class='armyCard'&gt;&lt;div&gt;&lt;p class='marquee'&gt;",E66,"&lt;/p&gt;",IF(H66="Yes","&lt;img src='assets/CaCRequired.png' title='A CAC is required to use some or all features of this site!' Class='cacLocked'&gt;",""),IF(G66="Yes","&lt;img src='assets/DODlock.png' title='This Site requires a DoD network connection to be used!' Class='dodLocked'&gt;",""),"&lt;img src='assets/",D66,"' class='cardImage' loading='lazy'&gt;&lt;/div&gt;&lt;div class='title'&gt;
          &lt;span&gt;",A66,"&lt;/span&gt;&lt;/div&gt;&lt;/div&gt;&lt;/div&gt;&lt;/a&gt;&lt;/div&gt;&lt;script&gt;var js",F66," = document.getElementById('",F66,"').innerHTML;&lt;/script&gt;")</f>
        <v xml:space="preserve">        &lt;!--Center for the Army Profession and Leadership (CAPL) - https://capl.army.mil/ --&gt;&lt;div class='column catAll catProDev' style='margin-bottom: 0px;' id='C01'&gt;&lt;a href='https://capl.army.mil/' rel='noopener noreferrer' class='column hideMarquee'&gt;&lt;div class='armyCardContainer card'&gt;&lt;div class='armyCard'&gt;&lt;div&gt;&lt;p class='marquee'&gt;Center for the Army Profession and Leadership (CAPL) supports the Army profession, leadership and leader development with studies, doctrine, products, services and personnel lifecycle integration in order to strengthen the Army profession and enhance leader and unit performance at all echelons.&lt;/p&gt;&lt;img src='assets/Card-040.png' class='cardImage' loading='lazy'&gt;&lt;/div&gt;&lt;div class='title'&gt;
          &lt;span&gt;Center for the Army Profession and Leadership (CAPL)&lt;/span&gt;&lt;/div&gt;&lt;/div&gt;&lt;/div&gt;&lt;/a&gt;&lt;/div&gt;&lt;script&gt;var jsC01 = document.getElementById('C01').innerHTML;&lt;/script&gt;</v>
      </c>
      <c r="Y6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Center for the Army Profession and Leadership (CAPL) - https://capl.army.mil/ --&gt;
      &lt;summary&gt;• &lt;a href='https://capl.army.mil/' rel='noopener noreferrer'&gt;Center for the Army Profession and Leadership (CAPL) - https://capl.army.mil/&lt;/a&gt;&lt;/summary&gt;
      &lt;p&gt;Center for the Army Profession and Leadership (CAPL) supports the Army profession, leadership and leader development with studies, doctrine, products, services and personnel lifecycle integration in order to strengthen the Army profession and enhance leader and unit performance at all echelons.&lt;/p&gt;
    &lt;/details&gt;</v>
      </c>
      <c r="Z66" s="1" t="str">
        <f t="shared" ref="Z66:Z129" si="4">CONCATENATE("          &lt;!-- ",B66," - ",C66," --&gt;&lt;div id='drag",F66,"' class='catAll",IF(I66="X"," catArmySites",""),IF(J66="X"," catCombatReadiness",""),IF(K66="X"," catDod",""),IF(L66="X"," catFamily",""),IF(M66="X"," catFinance",""),IF(N66="X"," catHealth",""),IF(O66="X"," catHuman",""),IF(P66="X"," catLegal",""),IF(Q66="X"," catProDev",""),IF(R66="X"," catTech",""),IF(S66="X"," catMilEd",""),IF(T66="X"," catCivEd",""),IF(U66="X"," catUsGov",""),"'&gt;&lt;div class='column hideMarquee' draggable='true' ondragstart='drag(event)' value='",F66,"' id='",F66,"'&gt;&lt;div class='armyCardContainer ssCard'&gt;&lt;div class='ssArmyCard'&gt;&lt;div&gt;&lt;p class='marquee'&gt;",E66,"&lt;/p&gt;&lt;img src='assets/",D66,"' class='ssCardImage' draggable='false' loading='lazy'&gt;&lt;/div&gt;&lt;div class='ssTitle'&gt;&lt;span id='",F66,"Title'&gt;",A66,"&lt;/span&gt;&lt;/div&gt;&lt;/div&gt;&lt;/div&gt;&lt;/div&gt;&lt;/div&gt;&lt;script&gt;var js",F66," = document.getElementById('drag",F66,"').innerHTML;&lt;/script&gt;")</f>
        <v xml:space="preserve">          &lt;!-- Center for the Army Profession and Leadership (CAPL) - https://capl.army.mil/ --&gt;&lt;div id='dragC01' class='catAll catProDev'&gt;&lt;div class='column hideMarquee' draggable='true' ondragstart='drag(event)' value='C01' id='C01'&gt;&lt;div class='armyCardContainer ssCard'&gt;&lt;div class='ssArmyCard'&gt;&lt;div&gt;&lt;p class='marquee'&gt;Center for the Army Profession and Leadership (CAPL) supports the Army profession, leadership and leader development with studies, doctrine, products, services and personnel lifecycle integration in order to strengthen the Army profession and enhance leader and unit performance at all echelons.&lt;/p&gt;&lt;img src='assets/Card-040.png' class='ssCardImage' draggable='false' loading='lazy'&gt;&lt;/div&gt;&lt;div class='ssTitle'&gt;&lt;span id='C01Title'&gt;Center for the Army Profession and Leadership (CAPL)&lt;/span&gt;&lt;/div&gt;&lt;/div&gt;&lt;/div&gt;&lt;/div&gt;&lt;/div&gt;&lt;script&gt;var jsC01 = document.getElementById('dragC01').innerHTML;&lt;/script&gt;</v>
      </c>
      <c r="AA66" s="1" t="str">
        <f>CONCATENATE("var js",Table1[[#This Row],[IDs]]," = document.getElementbyId('drag",Table1[[#This Row],[IDs]],"').innerHTML; //  ",Table1[[#This Row],[Site]])</f>
        <v>var jsC01 = document.getElementbyId('dragC01').innerHTML; //  Center for the Army Profession and Leadership (CAPL)</v>
      </c>
    </row>
    <row r="67" spans="1:27" ht="15" x14ac:dyDescent="0.25">
      <c r="A67" t="s">
        <v>118</v>
      </c>
      <c r="B67" t="s">
        <v>118</v>
      </c>
      <c r="C67" s="10" t="s">
        <v>119</v>
      </c>
      <c r="D67" t="s">
        <v>649</v>
      </c>
      <c r="E67" t="s">
        <v>648</v>
      </c>
      <c r="F67" s="2" t="s">
        <v>123</v>
      </c>
      <c r="G67" s="2" t="s">
        <v>900</v>
      </c>
      <c r="H67" s="2" t="s">
        <v>552</v>
      </c>
      <c r="I67" s="2"/>
      <c r="J67" s="2"/>
      <c r="K67" s="2"/>
      <c r="L67" s="2"/>
      <c r="M67" s="2"/>
      <c r="N67" s="2"/>
      <c r="O67" s="2"/>
      <c r="P67" s="2"/>
      <c r="Q67" s="2"/>
      <c r="R67" s="2"/>
      <c r="S67" s="2" t="s">
        <v>18</v>
      </c>
      <c r="T67" s="2"/>
      <c r="U67" s="2"/>
      <c r="V67" s="2"/>
      <c r="W67" s="3" t="str">
        <f>CONCATENATE("var js",Table1[[#This Row],[IDs]]," = document.getElementbyId('",Table1[[#This Row],[IDs]],"').innerHTML; //  ",Table1[[#This Row],[Site]])</f>
        <v>var jsC02 = document.getElementbyId('C02').innerHTML; //  Central Army Registry (CAR)</v>
      </c>
      <c r="X67" s="1" t="str">
        <f t="shared" si="3"/>
        <v xml:space="preserve">        &lt;!--Central Army Registry (CAR) - https://atiam.train.army.mil/catalog/dashboard --&gt;&lt;div class='column catAll catMilEd' style='margin-bottom: 0px;' id='C02'&gt;&lt;a href='https://atiam.train.army.mil/catalog/dashboard' rel='noopener noreferrer' class='column hideMarquee'&gt;&lt;div class='armyCardContainer card'&gt;&lt;div class='armyCard'&gt;&lt;div&gt;&lt;p class='marquee'&gt;Central Army Registry (CAR) is your single access point to Army training resources, such as Field Manuals, Training Support Packages, Individual and Collective Tasks, Drills, Courseware and more.&lt;/p&gt;&lt;img src='assets/CaCRequired.png' title='A CAC is required to use some or all features of this site!' Class='cacLocked'&gt;&lt;img src='assets/Card-096.png' class='cardImage' loading='lazy'&gt;&lt;/div&gt;&lt;div class='title'&gt;
          &lt;span&gt;Central Army Registry (CAR)&lt;/span&gt;&lt;/div&gt;&lt;/div&gt;&lt;/div&gt;&lt;/a&gt;&lt;/div&gt;&lt;script&gt;var jsC02 = document.getElementById('C02').innerHTML;&lt;/script&gt;</v>
      </c>
      <c r="Y6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Central Army Registry (CAR) - https://atiam.train.army.mil/catalog/dashboard --&gt;
      &lt;summary&gt;• &lt;a href='https://atiam.train.army.mil/catalog/dashboard' rel='noopener noreferrer'&gt;Central Army Registry (CAR) - https://atiam.train.army.mil/catalog/dashboard&lt;/a&gt;&lt;/summary&gt;
      &lt;p&gt;Central Army Registry (CAR) is your single access point to Army training resources, such as Field Manuals, Training Support Packages, Individual and Collective Tasks, Drills, Courseware and more.&lt;/p&gt;
    &lt;/details&gt;</v>
      </c>
      <c r="Z67" s="1" t="str">
        <f t="shared" si="4"/>
        <v xml:space="preserve">          &lt;!-- Central Army Registry (CAR) - https://atiam.train.army.mil/catalog/dashboard --&gt;&lt;div id='dragC02' class='catAll catMilEd'&gt;&lt;div class='column hideMarquee' draggable='true' ondragstart='drag(event)' value='C02' id='C02'&gt;&lt;div class='armyCardContainer ssCard'&gt;&lt;div class='ssArmyCard'&gt;&lt;div&gt;&lt;p class='marquee'&gt;Central Army Registry (CAR) is your single access point to Army training resources, such as Field Manuals, Training Support Packages, Individual and Collective Tasks, Drills, Courseware and more.&lt;/p&gt;&lt;img src='assets/Card-096.png' class='ssCardImage' draggable='false' loading='lazy'&gt;&lt;/div&gt;&lt;div class='ssTitle'&gt;&lt;span id='C02Title'&gt;Central Army Registry (CAR)&lt;/span&gt;&lt;/div&gt;&lt;/div&gt;&lt;/div&gt;&lt;/div&gt;&lt;/div&gt;&lt;script&gt;var jsC02 = document.getElementById('dragC02').innerHTML;&lt;/script&gt;</v>
      </c>
      <c r="AA67" s="1" t="str">
        <f>CONCATENATE("var js",Table1[[#This Row],[IDs]]," = document.getElementbyId('drag",Table1[[#This Row],[IDs]],"').innerHTML; //  ",Table1[[#This Row],[Site]])</f>
        <v>var jsC02 = document.getElementbyId('dragC02').innerHTML; //  Central Army Registry (CAR)</v>
      </c>
    </row>
    <row r="68" spans="1:27" ht="15" x14ac:dyDescent="0.25">
      <c r="A68" t="s">
        <v>654</v>
      </c>
      <c r="B68" t="s">
        <v>654</v>
      </c>
      <c r="C68" s="2" t="s">
        <v>655</v>
      </c>
      <c r="D68" t="s">
        <v>651</v>
      </c>
      <c r="E68" t="s">
        <v>650</v>
      </c>
      <c r="F68" s="2" t="s">
        <v>656</v>
      </c>
      <c r="G68" s="2" t="s">
        <v>900</v>
      </c>
      <c r="H68" s="2" t="s">
        <v>900</v>
      </c>
      <c r="I68" s="2"/>
      <c r="J68" s="2"/>
      <c r="K68" s="2" t="s">
        <v>18</v>
      </c>
      <c r="L68" s="2"/>
      <c r="M68" s="2" t="s">
        <v>18</v>
      </c>
      <c r="N68" s="2"/>
      <c r="O68" s="2"/>
      <c r="P68" s="2"/>
      <c r="Q68" s="2"/>
      <c r="R68" s="2"/>
      <c r="S68" s="2"/>
      <c r="T68" s="2"/>
      <c r="U68" s="2"/>
      <c r="V68" s="2"/>
      <c r="W68" s="3" t="str">
        <f>CONCATENATE("var js",Table1[[#This Row],[IDs]]," = document.getElementbyId('",Table1[[#This Row],[IDs]],"').innerHTML; //  ",Table1[[#This Row],[Site]])</f>
        <v>var jsC07 = document.getElementbyId('C07').innerHTML; //  Citi Bank (GTCC)</v>
      </c>
      <c r="X68" s="1" t="str">
        <f t="shared" si="3"/>
        <v xml:space="preserve">        &lt;!--Citi Bank (GTCC) - https://home.cards.citidirect.com/CommercialCard/login --&gt;&lt;div class='column catAll catDod catFinance' style='margin-bottom: 0px;' id='C07'&gt;&lt;a href='https://home.cards.citidirect.com/CommercialCard/login' rel='noopener noreferrer' class='column hideMarquee'&gt;&lt;div class='armyCardContainer card'&gt;&lt;div class='armyCard'&gt;&lt;div&gt;&lt;p class='marquee'&gt;Citi Bank Commercial Cards where Soldiers can log in to see the balance and make payments to their Government Travel Credit Card (GTCC).&lt;/p&gt;&lt;img src='assets/Card-151.png' class='cardImage' loading='lazy'&gt;&lt;/div&gt;&lt;div class='title'&gt;
          &lt;span&gt;Citi Bank (GTCC)&lt;/span&gt;&lt;/div&gt;&lt;/div&gt;&lt;/div&gt;&lt;/a&gt;&lt;/div&gt;&lt;script&gt;var jsC07 = document.getElementById('C07').innerHTML;&lt;/script&gt;</v>
      </c>
      <c r="Y6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Citi Bank (GTCC) - https://home.cards.citidirect.com/CommercialCard/login --&gt;
      &lt;summary&gt;• &lt;a href='https://home.cards.citidirect.com/CommercialCard/login' rel='noopener noreferrer'&gt;Citi Bank (GTCC) - https://home.cards.citidirect.com/CommercialCard/login&lt;/a&gt;&lt;/summary&gt;
      &lt;p&gt;Citi Bank Commercial Cards where Soldiers can log in to see the balance and make payments to their Government Travel Credit Card (GTCC).&lt;/p&gt;
    &lt;/details&gt;</v>
      </c>
      <c r="Z68" s="1" t="str">
        <f t="shared" si="4"/>
        <v xml:space="preserve">          &lt;!-- Citi Bank (GTCC) - https://home.cards.citidirect.com/CommercialCard/login --&gt;&lt;div id='dragC07' class='catAll catDod catFinance'&gt;&lt;div class='column hideMarquee' draggable='true' ondragstart='drag(event)' value='C07' id='C07'&gt;&lt;div class='armyCardContainer ssCard'&gt;&lt;div class='ssArmyCard'&gt;&lt;div&gt;&lt;p class='marquee'&gt;Citi Bank Commercial Cards where Soldiers can log in to see the balance and make payments to their Government Travel Credit Card (GTCC).&lt;/p&gt;&lt;img src='assets/Card-151.png' class='ssCardImage' draggable='false' loading='lazy'&gt;&lt;/div&gt;&lt;div class='ssTitle'&gt;&lt;span id='C07Title'&gt;Citi Bank (GTCC)&lt;/span&gt;&lt;/div&gt;&lt;/div&gt;&lt;/div&gt;&lt;/div&gt;&lt;/div&gt;&lt;script&gt;var jsC07 = document.getElementById('dragC07').innerHTML;&lt;/script&gt;</v>
      </c>
      <c r="AA68" s="1" t="str">
        <f>CONCATENATE("var js",Table1[[#This Row],[IDs]]," = document.getElementbyId('drag",Table1[[#This Row],[IDs]],"').innerHTML; //  ",Table1[[#This Row],[Site]])</f>
        <v>var jsC07 = document.getElementbyId('dragC07').innerHTML; //  Citi Bank (GTCC)</v>
      </c>
    </row>
    <row r="69" spans="1:27" ht="15" x14ac:dyDescent="0.25">
      <c r="A69" t="s">
        <v>369</v>
      </c>
      <c r="B69" t="s">
        <v>369</v>
      </c>
      <c r="C69" s="5" t="s">
        <v>390</v>
      </c>
      <c r="D69" t="s">
        <v>653</v>
      </c>
      <c r="E69" t="s">
        <v>652</v>
      </c>
      <c r="F69" s="2" t="s">
        <v>126</v>
      </c>
      <c r="G69" s="2" t="s">
        <v>900</v>
      </c>
      <c r="H69" s="2" t="s">
        <v>900</v>
      </c>
      <c r="I69" s="2"/>
      <c r="J69" s="2"/>
      <c r="K69" s="2"/>
      <c r="L69" s="2"/>
      <c r="M69" s="2"/>
      <c r="N69" s="2"/>
      <c r="O69" s="2"/>
      <c r="P69" s="2"/>
      <c r="Q69" s="2"/>
      <c r="R69" s="2"/>
      <c r="S69" s="2" t="s">
        <v>18</v>
      </c>
      <c r="T69" s="2"/>
      <c r="U69" s="2"/>
      <c r="V69" s="2"/>
      <c r="W69" s="3" t="str">
        <f>CONCATENATE("var js",Table1[[#This Row],[IDs]]," = document.getElementbyId('",Table1[[#This Row],[IDs]],"').innerHTML; //  ",Table1[[#This Row],[Site]])</f>
        <v>var jsC03 = document.getElementbyId('C03').innerHTML; //  Combined Arms Center</v>
      </c>
      <c r="X69" s="1" t="str">
        <f t="shared" si="3"/>
        <v xml:space="preserve">        &lt;!--Combined Arms Center - https://usacac.army.mil/ --&gt;&lt;div class='column catAll catMilEd' style='margin-bottom: 0px;' id='C03'&gt;&lt;a href='https://usacac.army.mil/' rel='noopener noreferrer' class='column hideMarquee'&gt;&lt;div class='armyCardContainer card'&gt;&lt;div class='armyCard'&gt;&lt;div&gt;&lt;p class='marquee'&gt;The US Army Combined Arms Center (CAC) is the force modernization proponent for unified land operations, combined arms operations at echelons above brigade (Division, Corps and Theater Army), mission command, airspace control, information operations, irregular warfare, knowledge management, personnel recovery, OPSEC, military deception, security force assistance, UAP interoperability, and the Army Profession. CAC is made up of more than 34,000 Soldiers and Army Civilian Corps employees stationed throughout the United States, Europe, Korea, and SW Asia and nine centers of excellence, 20 branch schools, and seven non-branch schools. The Combined Arms Center synchronizes 37 US Army schools through Army University educating and training more than 300,000 students annually, including nearly 5,000 students from 130 separate nations and more than 10,000 sailors, airmen, and Marines from the Joint Force.&lt;/p&gt;&lt;img src='assets/Card-123.png' class='cardImage' loading='lazy'&gt;&lt;/div&gt;&lt;div class='title'&gt;
          &lt;span&gt;Combined Arms Center&lt;/span&gt;&lt;/div&gt;&lt;/div&gt;&lt;/div&gt;&lt;/a&gt;&lt;/div&gt;&lt;script&gt;var jsC03 = document.getElementById('C03').innerHTML;&lt;/script&gt;</v>
      </c>
      <c r="Y6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Combined Arms Center - https://usacac.army.mil/ --&gt;
      &lt;summary&gt;• &lt;a href='https://usacac.army.mil/' rel='noopener noreferrer'&gt;Combined Arms Center - https://usacac.army.mil/&lt;/a&gt;&lt;/summary&gt;
      &lt;p&gt;The US Army Combined Arms Center (CAC) is the force modernization proponent for unified land operations, combined arms operations at echelons above brigade (Division, Corps and Theater Army), mission command, airspace control, information operations, irregular warfare, knowledge management, personnel recovery, OPSEC, military deception, security force assistance, UAP interoperability, and the Army Profession. CAC is made up of more than 34,000 Soldiers and Army Civilian Corps employees stationed throughout the United States, Europe, Korea, and SW Asia and nine centers of excellence, 20 branch schools, and seven non-branch schools. The Combined Arms Center synchronizes 37 US Army schools through Army University educating and training more than 300,000 students annually, including nearly 5,000 students from 130 separate nations and more than 10,000 sailors, airmen, and Marines from the Joint Force.&lt;/p&gt;
    &lt;/details&gt;</v>
      </c>
      <c r="Z69" s="1" t="str">
        <f t="shared" si="4"/>
        <v xml:space="preserve">          &lt;!-- Combined Arms Center - https://usacac.army.mil/ --&gt;&lt;div id='dragC03' class='catAll catMilEd'&gt;&lt;div class='column hideMarquee' draggable='true' ondragstart='drag(event)' value='C03' id='C03'&gt;&lt;div class='armyCardContainer ssCard'&gt;&lt;div class='ssArmyCard'&gt;&lt;div&gt;&lt;p class='marquee'&gt;The US Army Combined Arms Center (CAC) is the force modernization proponent for unified land operations, combined arms operations at echelons above brigade (Division, Corps and Theater Army), mission command, airspace control, information operations, irregular warfare, knowledge management, personnel recovery, OPSEC, military deception, security force assistance, UAP interoperability, and the Army Profession. CAC is made up of more than 34,000 Soldiers and Army Civilian Corps employees stationed throughout the United States, Europe, Korea, and SW Asia and nine centers of excellence, 20 branch schools, and seven non-branch schools. The Combined Arms Center synchronizes 37 US Army schools through Army University educating and training more than 300,000 students annually, including nearly 5,000 students from 130 separate nations and more than 10,000 sailors, airmen, and Marines from the Joint Force.&lt;/p&gt;&lt;img src='assets/Card-123.png' class='ssCardImage' draggable='false' loading='lazy'&gt;&lt;/div&gt;&lt;div class='ssTitle'&gt;&lt;span id='C03Title'&gt;Combined Arms Center&lt;/span&gt;&lt;/div&gt;&lt;/div&gt;&lt;/div&gt;&lt;/div&gt;&lt;/div&gt;&lt;script&gt;var jsC03 = document.getElementById('dragC03').innerHTML;&lt;/script&gt;</v>
      </c>
      <c r="AA69" s="1" t="str">
        <f>CONCATENATE("var js",Table1[[#This Row],[IDs]]," = document.getElementbyId('drag",Table1[[#This Row],[IDs]],"').innerHTML; //  ",Table1[[#This Row],[Site]])</f>
        <v>var jsC03 = document.getElementbyId('dragC03').innerHTML; //  Combined Arms Center</v>
      </c>
    </row>
    <row r="70" spans="1:27" ht="15" x14ac:dyDescent="0.25">
      <c r="A70" t="s">
        <v>121</v>
      </c>
      <c r="B70" t="s">
        <v>121</v>
      </c>
      <c r="C70" s="10" t="s">
        <v>122</v>
      </c>
      <c r="D70" t="s">
        <v>658</v>
      </c>
      <c r="E70" t="s">
        <v>657</v>
      </c>
      <c r="F70" s="2" t="s">
        <v>129</v>
      </c>
      <c r="G70" s="2" t="s">
        <v>900</v>
      </c>
      <c r="H70" s="2" t="s">
        <v>900</v>
      </c>
      <c r="I70" s="2"/>
      <c r="J70" s="2"/>
      <c r="K70" s="2"/>
      <c r="L70" s="2" t="s">
        <v>18</v>
      </c>
      <c r="M70" s="2"/>
      <c r="N70" s="2" t="s">
        <v>18</v>
      </c>
      <c r="O70" s="2"/>
      <c r="P70" s="2"/>
      <c r="Q70" s="2"/>
      <c r="R70" s="2"/>
      <c r="S70" s="2"/>
      <c r="T70" s="2"/>
      <c r="U70" s="2"/>
      <c r="V70" s="2"/>
      <c r="W70" s="3" t="str">
        <f>CONCATENATE("var js",Table1[[#This Row],[IDs]]," = document.getElementbyId('",Table1[[#This Row],[IDs]],"').innerHTML; //  ",Table1[[#This Row],[Site]])</f>
        <v>var jsC04 = document.getElementbyId('C04').innerHTML; //  Comprehensive Soldier and Family Fitness</v>
      </c>
      <c r="X70" s="1" t="str">
        <f t="shared" si="3"/>
        <v xml:space="preserve">        &lt;!--Comprehensive Soldier and Family Fitness - https://www.usar.army.mil/CSF/  --&gt;&lt;div class='column catAll catFamily catHealth' style='margin-bottom: 0px;' id='C04'&gt;&lt;a href='https://www.usar.army.mil/CSF/ ' rel='noopener noreferrer' class='column hideMarquee'&gt;&lt;div class='armyCardContainer card'&gt;&lt;div class='armyCard'&gt;&lt;div&gt;&lt;p class='marquee'&gt;Comprehensive Soldier and Family Fitness uses individual assessments, tailored virtual training, classroom training and embedded resilience experts to provide the critical skills our Soldiers, Family members and Army Civilians need.&lt;/p&gt;&lt;img src='assets/Card-024.png' class='cardImage' loading='lazy'&gt;&lt;/div&gt;&lt;div class='title'&gt;
          &lt;span&gt;Comprehensive Soldier and Family Fitness&lt;/span&gt;&lt;/div&gt;&lt;/div&gt;&lt;/div&gt;&lt;/a&gt;&lt;/div&gt;&lt;script&gt;var jsC04 = document.getElementById('C04').innerHTML;&lt;/script&gt;</v>
      </c>
      <c r="Y7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Comprehensive Soldier and Family Fitness - https://www.usar.army.mil/CSF/  --&gt;
      &lt;summary&gt;• &lt;a href='https://www.usar.army.mil/CSF/ ' rel='noopener noreferrer'&gt;Comprehensive Soldier and Family Fitness - https://www.usar.army.mil/CSF/ &lt;/a&gt;&lt;/summary&gt;
      &lt;p&gt;Comprehensive Soldier and Family Fitness uses individual assessments, tailored virtual training, classroom training and embedded resilience experts to provide the critical skills our Soldiers, Family members and Army Civilians need.&lt;/p&gt;
    &lt;/details&gt;</v>
      </c>
      <c r="Z70" s="1" t="str">
        <f t="shared" si="4"/>
        <v xml:space="preserve">          &lt;!-- Comprehensive Soldier and Family Fitness - https://www.usar.army.mil/CSF/  --&gt;&lt;div id='dragC04' class='catAll catFamily catHealth'&gt;&lt;div class='column hideMarquee' draggable='true' ondragstart='drag(event)' value='C04' id='C04'&gt;&lt;div class='armyCardContainer ssCard'&gt;&lt;div class='ssArmyCard'&gt;&lt;div&gt;&lt;p class='marquee'&gt;Comprehensive Soldier and Family Fitness uses individual assessments, tailored virtual training, classroom training and embedded resilience experts to provide the critical skills our Soldiers, Family members and Army Civilians need.&lt;/p&gt;&lt;img src='assets/Card-024.png' class='ssCardImage' draggable='false' loading='lazy'&gt;&lt;/div&gt;&lt;div class='ssTitle'&gt;&lt;span id='C04Title'&gt;Comprehensive Soldier and Family Fitness&lt;/span&gt;&lt;/div&gt;&lt;/div&gt;&lt;/div&gt;&lt;/div&gt;&lt;/div&gt;&lt;script&gt;var jsC04 = document.getElementById('dragC04').innerHTML;&lt;/script&gt;</v>
      </c>
      <c r="AA70" s="1" t="str">
        <f>CONCATENATE("var js",Table1[[#This Row],[IDs]]," = document.getElementbyId('drag",Table1[[#This Row],[IDs]],"').innerHTML; //  ",Table1[[#This Row],[Site]])</f>
        <v>var jsC04 = document.getElementbyId('dragC04').innerHTML; //  Comprehensive Soldier and Family Fitness</v>
      </c>
    </row>
    <row r="71" spans="1:27" ht="15" x14ac:dyDescent="0.25">
      <c r="A71" t="s">
        <v>124</v>
      </c>
      <c r="B71" t="s">
        <v>124</v>
      </c>
      <c r="C71" s="10" t="s">
        <v>125</v>
      </c>
      <c r="D71" t="s">
        <v>660</v>
      </c>
      <c r="E71" t="s">
        <v>659</v>
      </c>
      <c r="F71" s="2" t="s">
        <v>416</v>
      </c>
      <c r="G71" s="2" t="s">
        <v>900</v>
      </c>
      <c r="H71" s="2" t="s">
        <v>552</v>
      </c>
      <c r="I71" s="2" t="s">
        <v>18</v>
      </c>
      <c r="J71" s="2"/>
      <c r="K71" s="2"/>
      <c r="L71" s="2"/>
      <c r="M71" s="2"/>
      <c r="N71" s="2"/>
      <c r="O71" s="2"/>
      <c r="P71" s="2"/>
      <c r="Q71" s="2"/>
      <c r="R71" s="2" t="s">
        <v>18</v>
      </c>
      <c r="S71" s="2"/>
      <c r="T71" s="2"/>
      <c r="U71" s="2"/>
      <c r="V71" s="2"/>
      <c r="W71" s="3" t="str">
        <f>CONCATENATE("var js",Table1[[#This Row],[IDs]]," = document.getElementbyId('",Table1[[#This Row],[IDs]],"').innerHTML; //  ",Table1[[#This Row],[Site]])</f>
        <v>var jsC05 = document.getElementbyId('C05').innerHTML; //  Computer Hardware Enterprise Software and Solutions (CHESS)</v>
      </c>
      <c r="X71" s="1" t="str">
        <f t="shared" si="3"/>
        <v xml:space="preserve">        &lt;!--Computer Hardware Enterprise Software and Solutions (CHESS) - https://chess.army.mil/ --&gt;&lt;div class='column catAll catArmySites catTech' style='margin-bottom: 0px;' id='C05'&gt;&lt;a href='https://chess.army.mil/' rel='noopener noreferrer' class='column hideMarquee'&gt;&lt;div class='armyCardContainer card'&gt;&lt;div class='armyCard'&gt;&lt;div&gt;&lt;p class='marquee'&gt;Computer Hardware Enterprise Software and Solutions (CHESS) is the Army's designated Primary Source for commercial IT. CHESS provides a no-fee flexible procurement strategy through which an Army user may procure commercial off the shelf (COTS) IT hardware, software and services.&lt;/p&gt;&lt;img src='assets/CaCRequired.png' title='A CAC is required to use some or all features of this site!' Class='cacLocked'&gt;&lt;img src='assets/Card-070.png' class='cardImage' loading='lazy'&gt;&lt;/div&gt;&lt;div class='title'&gt;
          &lt;span&gt;Computer Hardware Enterprise Software and Solutions (CHESS)&lt;/span&gt;&lt;/div&gt;&lt;/div&gt;&lt;/div&gt;&lt;/a&gt;&lt;/div&gt;&lt;script&gt;var jsC05 = document.getElementById('C05').innerHTML;&lt;/script&gt;</v>
      </c>
      <c r="Y7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Computer Hardware Enterprise Software and Solutions (CHESS) - https://chess.army.mil/ --&gt;
      &lt;summary&gt;• &lt;a href='https://chess.army.mil/' rel='noopener noreferrer'&gt;Computer Hardware Enterprise Software and Solutions (CHESS) - https://chess.army.mil/&lt;/a&gt;&lt;/summary&gt;
      &lt;p&gt;Computer Hardware Enterprise Software and Solutions (CHESS) is the Army's designated Primary Source for commercial IT. CHESS provides a no-fee flexible procurement strategy through which an Army user may procure commercial off the shelf (COTS) IT hardware, software and services.&lt;/p&gt;
    &lt;/details&gt;</v>
      </c>
      <c r="Z71" s="1" t="str">
        <f t="shared" si="4"/>
        <v xml:space="preserve">          &lt;!-- Computer Hardware Enterprise Software and Solutions (CHESS) - https://chess.army.mil/ --&gt;&lt;div id='dragC05' class='catAll catArmySites catTech'&gt;&lt;div class='column hideMarquee' draggable='true' ondragstart='drag(event)' value='C05' id='C05'&gt;&lt;div class='armyCardContainer ssCard'&gt;&lt;div class='ssArmyCard'&gt;&lt;div&gt;&lt;p class='marquee'&gt;Computer Hardware Enterprise Software and Solutions (CHESS) is the Army's designated Primary Source for commercial IT. CHESS provides a no-fee flexible procurement strategy through which an Army user may procure commercial off the shelf (COTS) IT hardware, software and services.&lt;/p&gt;&lt;img src='assets/Card-070.png' class='ssCardImage' draggable='false' loading='lazy'&gt;&lt;/div&gt;&lt;div class='ssTitle'&gt;&lt;span id='C05Title'&gt;Computer Hardware Enterprise Software and Solutions (CHESS)&lt;/span&gt;&lt;/div&gt;&lt;/div&gt;&lt;/div&gt;&lt;/div&gt;&lt;/div&gt;&lt;script&gt;var jsC05 = document.getElementById('dragC05').innerHTML;&lt;/script&gt;</v>
      </c>
      <c r="AA71" s="1" t="str">
        <f>CONCATENATE("var js",Table1[[#This Row],[IDs]]," = document.getElementbyId('drag",Table1[[#This Row],[IDs]],"').innerHTML; //  ",Table1[[#This Row],[Site]])</f>
        <v>var jsC05 = document.getElementbyId('dragC05').innerHTML; //  Computer Hardware Enterprise Software and Solutions (CHESS)</v>
      </c>
    </row>
    <row r="72" spans="1:27" ht="15" x14ac:dyDescent="0.25">
      <c r="A72" s="1" t="s">
        <v>916</v>
      </c>
      <c r="B72" s="1" t="s">
        <v>916</v>
      </c>
      <c r="C72" s="10" t="s">
        <v>522</v>
      </c>
      <c r="D72" t="s">
        <v>974</v>
      </c>
      <c r="E72" s="1" t="s">
        <v>917</v>
      </c>
      <c r="F72" s="2" t="s">
        <v>941</v>
      </c>
      <c r="G72" s="2" t="s">
        <v>900</v>
      </c>
      <c r="H72" s="2" t="s">
        <v>900</v>
      </c>
      <c r="I72" s="2"/>
      <c r="J72" s="2"/>
      <c r="K72" s="2" t="s">
        <v>18</v>
      </c>
      <c r="L72" s="2"/>
      <c r="M72" s="2" t="s">
        <v>18</v>
      </c>
      <c r="N72" s="2"/>
      <c r="O72" s="2"/>
      <c r="P72" s="2"/>
      <c r="Q72" s="2"/>
      <c r="R72" s="2"/>
      <c r="S72" s="2"/>
      <c r="T72" s="2"/>
      <c r="U72" s="2"/>
      <c r="V72" s="2"/>
      <c r="W72" s="3" t="str">
        <f>CONCATENATE("var js",Table1[[#This Row],[IDs]]," = document.getElementbyId('",Table1[[#This Row],[IDs]],"').innerHTML; //  ",Table1[[#This Row],[Site]])</f>
        <v>var jsC08 = document.getElementbyId('C08').innerHTML; //  CWT Sato Travel</v>
      </c>
      <c r="X72" s="1" t="str">
        <f t="shared" si="3"/>
        <v xml:space="preserve">        &lt;!--CWT Sato Travel - https://www.cwtsatotravel.com/home.html --&gt;&lt;div class='column catAll catDod catFinance' style='margin-bottom: 0px;' id='C08'&gt;&lt;a href='https://www.cwtsatotravel.com/home.html' rel='noopener noreferrer' class='column hideMarquee'&gt;&lt;div class='armyCardContainer card'&gt;&lt;div class='armyCard'&gt;&lt;div&gt;&lt;p class='marquee'&gt;Whether you are on a routine trip or a deployment to handle an emergency response, CWTSatoTravel will make sure you get where you need to be in an efficient and cost-effective manner. Plus you have to use it.&lt;/p&gt;&lt;img src='assets/Card-153.png' class='cardImage' loading='lazy'&gt;&lt;/div&gt;&lt;div class='title'&gt;
          &lt;span&gt;CWT Sato Travel&lt;/span&gt;&lt;/div&gt;&lt;/div&gt;&lt;/div&gt;&lt;/a&gt;&lt;/div&gt;&lt;script&gt;var jsC08 = document.getElementById('C08').innerHTML;&lt;/script&gt;</v>
      </c>
      <c r="Y7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CWT Sato Travel - https://www.cwtsatotravel.com/home.html --&gt;
      &lt;summary&gt;• &lt;a href='https://www.cwtsatotravel.com/home.html' rel='noopener noreferrer'&gt;CWT Sato Travel - https://www.cwtsatotravel.com/home.html&lt;/a&gt;&lt;/summary&gt;
      &lt;p&gt;Whether you are on a routine trip or a deployment to handle an emergency response, CWTSatoTravel will make sure you get where you need to be in an efficient and cost-effective manner. Plus you have to use it.&lt;/p&gt;
    &lt;/details&gt;</v>
      </c>
      <c r="Z72" s="1" t="str">
        <f t="shared" si="4"/>
        <v xml:space="preserve">          &lt;!-- CWT Sato Travel - https://www.cwtsatotravel.com/home.html --&gt;&lt;div id='dragC08' class='catAll catDod catFinance'&gt;&lt;div class='column hideMarquee' draggable='true' ondragstart='drag(event)' value='C08' id='C08'&gt;&lt;div class='armyCardContainer ssCard'&gt;&lt;div class='ssArmyCard'&gt;&lt;div&gt;&lt;p class='marquee'&gt;Whether you are on a routine trip or a deployment to handle an emergency response, CWTSatoTravel will make sure you get where you need to be in an efficient and cost-effective manner. Plus you have to use it.&lt;/p&gt;&lt;img src='assets/Card-153.png' class='ssCardImage' draggable='false' loading='lazy'&gt;&lt;/div&gt;&lt;div class='ssTitle'&gt;&lt;span id='C08Title'&gt;CWT Sato Travel&lt;/span&gt;&lt;/div&gt;&lt;/div&gt;&lt;/div&gt;&lt;/div&gt;&lt;/div&gt;&lt;script&gt;var jsC08 = document.getElementById('dragC08').innerHTML;&lt;/script&gt;</v>
      </c>
      <c r="AA72" s="1" t="str">
        <f>CONCATENATE("var js",Table1[[#This Row],[IDs]]," = document.getElementbyId('drag",Table1[[#This Row],[IDs]],"').innerHTML; //  ",Table1[[#This Row],[Site]])</f>
        <v>var jsC08 = document.getElementbyId('dragC08').innerHTML; //  CWT Sato Travel</v>
      </c>
    </row>
    <row r="73" spans="1:27" ht="15" x14ac:dyDescent="0.25">
      <c r="A73" t="s">
        <v>127</v>
      </c>
      <c r="B73" t="s">
        <v>127</v>
      </c>
      <c r="C73" s="2" t="s">
        <v>128</v>
      </c>
      <c r="D73" t="s">
        <v>662</v>
      </c>
      <c r="E73" t="s">
        <v>661</v>
      </c>
      <c r="F73" s="2" t="s">
        <v>417</v>
      </c>
      <c r="G73" s="2" t="s">
        <v>900</v>
      </c>
      <c r="H73" s="2" t="s">
        <v>552</v>
      </c>
      <c r="I73" s="2"/>
      <c r="J73" s="2"/>
      <c r="K73" s="2"/>
      <c r="L73" s="2"/>
      <c r="M73" s="2"/>
      <c r="N73" s="2"/>
      <c r="O73" s="2"/>
      <c r="P73" s="2"/>
      <c r="Q73" s="2"/>
      <c r="R73" s="2" t="s">
        <v>18</v>
      </c>
      <c r="S73" s="2" t="s">
        <v>18</v>
      </c>
      <c r="T73" s="2"/>
      <c r="U73" s="2"/>
      <c r="V73" s="2"/>
      <c r="W73" s="3" t="str">
        <f>CONCATENATE("var js",Table1[[#This Row],[IDs]]," = document.getElementbyId('",Table1[[#This Row],[IDs]],"').innerHTML; //  ",Table1[[#This Row],[Site]])</f>
        <v>var jsC06 = document.getElementbyId('C06').innerHTML; //  Cyber Awareness Challenge</v>
      </c>
      <c r="X73" s="1" t="str">
        <f t="shared" si="3"/>
        <v xml:space="preserve">        &lt;!--Cyber Awareness Challenge - https://cs.signal.army.mil --&gt;&lt;div class='column catAll catTech catMilEd' style='margin-bottom: 0px;' id='C06'&gt;&lt;a href='https://cs.signal.army.mil' rel='noopener noreferrer' class='column hideMarquee'&gt;&lt;div class='armyCardContainer card'&gt;&lt;div class='armyCard'&gt;&lt;div&gt;&lt;p class='marquee'&gt;The Cyber Awareness Challenge provides an overview of cybersecurity threats and best practices to keep information and information systems secure.&lt;/p&gt;&lt;img src='assets/CaCRequired.png' title='A CAC is required to use some or all features of this site!' Class='cacLocked'&gt;&lt;img src='assets/Card-093.jpg' class='cardImage' loading='lazy'&gt;&lt;/div&gt;&lt;div class='title'&gt;
          &lt;span&gt;Cyber Awareness Challenge&lt;/span&gt;&lt;/div&gt;&lt;/div&gt;&lt;/div&gt;&lt;/a&gt;&lt;/div&gt;&lt;script&gt;var jsC06 = document.getElementById('C06').innerHTML;&lt;/script&gt;</v>
      </c>
      <c r="Y7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Cyber Awareness Challenge - https://cs.signal.army.mil --&gt;
      &lt;summary&gt;• &lt;a href='https://cs.signal.army.mil' rel='noopener noreferrer'&gt;Cyber Awareness Challenge - https://cs.signal.army.mil&lt;/a&gt;&lt;/summary&gt;
      &lt;p&gt;The Cyber Awareness Challenge provides an overview of cybersecurity threats and best practices to keep information and information systems secure.&lt;/p&gt;
    &lt;/details&gt;</v>
      </c>
      <c r="Z73" s="1" t="str">
        <f t="shared" si="4"/>
        <v xml:space="preserve">          &lt;!-- Cyber Awareness Challenge - https://cs.signal.army.mil --&gt;&lt;div id='dragC06' class='catAll catTech catMilEd'&gt;&lt;div class='column hideMarquee' draggable='true' ondragstart='drag(event)' value='C06' id='C06'&gt;&lt;div class='armyCardContainer ssCard'&gt;&lt;div class='ssArmyCard'&gt;&lt;div&gt;&lt;p class='marquee'&gt;The Cyber Awareness Challenge provides an overview of cybersecurity threats and best practices to keep information and information systems secure.&lt;/p&gt;&lt;img src='assets/Card-093.jpg' class='ssCardImage' draggable='false' loading='lazy'&gt;&lt;/div&gt;&lt;div class='ssTitle'&gt;&lt;span id='C06Title'&gt;Cyber Awareness Challenge&lt;/span&gt;&lt;/div&gt;&lt;/div&gt;&lt;/div&gt;&lt;/div&gt;&lt;/div&gt;&lt;script&gt;var jsC06 = document.getElementById('dragC06').innerHTML;&lt;/script&gt;</v>
      </c>
      <c r="AA73" s="1" t="str">
        <f>CONCATENATE("var js",Table1[[#This Row],[IDs]]," = document.getElementbyId('drag",Table1[[#This Row],[IDs]],"').innerHTML; //  ",Table1[[#This Row],[Site]])</f>
        <v>var jsC06 = document.getElementbyId('dragC06').innerHTML; //  Cyber Awareness Challenge</v>
      </c>
    </row>
    <row r="74" spans="1:27" ht="15" x14ac:dyDescent="0.25">
      <c r="A74" t="s">
        <v>882</v>
      </c>
      <c r="B74" t="s">
        <v>882</v>
      </c>
      <c r="C74" s="2" t="s">
        <v>548</v>
      </c>
      <c r="D74" t="s">
        <v>746</v>
      </c>
      <c r="E74" s="1" t="s">
        <v>983</v>
      </c>
      <c r="F74" s="2" t="s">
        <v>942</v>
      </c>
      <c r="G74" s="2" t="s">
        <v>900</v>
      </c>
      <c r="H74" s="2" t="s">
        <v>552</v>
      </c>
      <c r="I74" s="2"/>
      <c r="J74" s="2"/>
      <c r="K74" s="2"/>
      <c r="L74" s="2"/>
      <c r="M74" s="2"/>
      <c r="N74" s="2"/>
      <c r="O74" s="2" t="s">
        <v>18</v>
      </c>
      <c r="P74" s="2" t="s">
        <v>18</v>
      </c>
      <c r="Q74" s="2"/>
      <c r="R74" s="2"/>
      <c r="S74" s="2"/>
      <c r="T74" s="2"/>
      <c r="U74" s="2"/>
      <c r="V74" s="2"/>
      <c r="W74" s="3" t="str">
        <f>CONCATENATE("var js",Table1[[#This Row],[IDs]]," = document.getElementbyId('",Table1[[#This Row],[IDs]],"').innerHTML; //  ",Table1[[#This Row],[Site]])</f>
        <v>var jsD22 = document.getElementbyId('D22').innerHTML; //  DD Form 93 Dashboard (IPPS-A)</v>
      </c>
      <c r="X74" s="1" t="str">
        <f t="shared" si="3"/>
        <v xml:space="preserve">        &lt;!--DD Form 93 Dashboard (IPPS-A) - https://hr.ippsa.army.mil/psc/hcpdc/EMPLOYEE/HRMS/c/IP_DD93_MENU.IP_DD93_DB_FL.GBL --&gt;&lt;div class='column catAll catHuman catLegal' style='margin-bottom: 0px;' id='D22'&gt;&lt;a href='https://hr.ippsa.army.mil/psc/hcpdc/EMPLOYEE/HRMS/c/IP_DD93_MENU.IP_DD93_DB_FL.GBL' rel='noopener noreferrer' class='column hideMarquee'&gt;&lt;div class='armyCardContainer card'&gt;&lt;div class='armyCard'&gt;&lt;div&gt;&lt;p class='marquee'&gt;The DD93 or DD Form 93 is used to record the name of the person or persons, if any, other than the member's primary next of kin or immediate family, to whom information on the whereabouts and status of the member shall be provided if the member is placed in a missing status.&lt;/p&gt;&lt;img src='assets/CaCRequired.png' title='A CAC is required to use some or all features of this site!' Class='cacLocked'&gt;&lt;img src='assets/Card-049.png' class='cardImage' loading='lazy'&gt;&lt;/div&gt;&lt;div class='title'&gt;
          &lt;span&gt;DD Form 93 Dashboard (IPPS-A)&lt;/span&gt;&lt;/div&gt;&lt;/div&gt;&lt;/div&gt;&lt;/a&gt;&lt;/div&gt;&lt;script&gt;var jsD22 = document.getElementById('D22').innerHTML;&lt;/script&gt;</v>
      </c>
      <c r="Y7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DD Form 93 Dashboard (IPPS-A) - https://hr.ippsa.army.mil/psc/hcpdc/EMPLOYEE/HRMS/c/IP_DD93_MENU.IP_DD93_DB_FL.GBL --&gt;
      &lt;summary&gt;• &lt;a href='https://hr.ippsa.army.mil/psc/hcpdc/EMPLOYEE/HRMS/c/IP_DD93_MENU.IP_DD93_DB_FL.GBL' rel='noopener noreferrer'&gt;DD Form 93 Dashboard (IPPS-A) - https://hr.ippsa.army.mil/psc/hcpdc/EMPLOYEE/HRMS/c/IP_DD93_MENU.IP_DD93_DB_FL.GBL&lt;/a&gt;&lt;/summary&gt;
      &lt;p&gt;The DD93 or DD Form 93 is used to record the name of the person or persons, if any, other than the member's primary next of kin or immediate family, to whom information on the whereabouts and status of the member shall be provided if the member is placed in a missing status.&lt;/p&gt;
    &lt;/details&gt;</v>
      </c>
      <c r="Z74" s="1" t="str">
        <f t="shared" si="4"/>
        <v xml:space="preserve">          &lt;!-- DD Form 93 Dashboard (IPPS-A) - https://hr.ippsa.army.mil/psc/hcpdc/EMPLOYEE/HRMS/c/IP_DD93_MENU.IP_DD93_DB_FL.GBL --&gt;&lt;div id='dragD22' class='catAll catHuman catLegal'&gt;&lt;div class='column hideMarquee' draggable='true' ondragstart='drag(event)' value='D22' id='D22'&gt;&lt;div class='armyCardContainer ssCard'&gt;&lt;div class='ssArmyCard'&gt;&lt;div&gt;&lt;p class='marquee'&gt;The DD93 or DD Form 93 is used to record the name of the person or persons, if any, other than the member's primary next of kin or immediate family, to whom information on the whereabouts and status of the member shall be provided if the member is placed in a missing status.&lt;/p&gt;&lt;img src='assets/Card-049.png' class='ssCardImage' draggable='false' loading='lazy'&gt;&lt;/div&gt;&lt;div class='ssTitle'&gt;&lt;span id='D22Title'&gt;DD Form 93 Dashboard (IPPS-A)&lt;/span&gt;&lt;/div&gt;&lt;/div&gt;&lt;/div&gt;&lt;/div&gt;&lt;/div&gt;&lt;script&gt;var jsD22 = document.getElementById('dragD22').innerHTML;&lt;/script&gt;</v>
      </c>
      <c r="AA74" s="1" t="str">
        <f>CONCATENATE("var js",Table1[[#This Row],[IDs]]," = document.getElementbyId('drag",Table1[[#This Row],[IDs]],"').innerHTML; //  ",Table1[[#This Row],[Site]])</f>
        <v>var jsD22 = document.getElementbyId('dragD22').innerHTML; //  DD Form 93 Dashboard (IPPS-A)</v>
      </c>
    </row>
    <row r="75" spans="1:27" ht="15" x14ac:dyDescent="0.25">
      <c r="A75" t="s">
        <v>371</v>
      </c>
      <c r="B75" t="s">
        <v>371</v>
      </c>
      <c r="C75" s="5" t="s">
        <v>372</v>
      </c>
      <c r="D75" t="s">
        <v>645</v>
      </c>
      <c r="E75" t="s">
        <v>663</v>
      </c>
      <c r="F75" s="2" t="s">
        <v>130</v>
      </c>
      <c r="G75" s="2" t="s">
        <v>900</v>
      </c>
      <c r="H75" s="2" t="s">
        <v>900</v>
      </c>
      <c r="I75" s="2"/>
      <c r="J75" s="2"/>
      <c r="K75" s="2"/>
      <c r="L75" s="2"/>
      <c r="M75" s="2"/>
      <c r="N75" s="2"/>
      <c r="O75" s="2"/>
      <c r="P75" s="2"/>
      <c r="Q75" s="2"/>
      <c r="R75" s="2"/>
      <c r="S75" s="2" t="s">
        <v>18</v>
      </c>
      <c r="T75" s="2"/>
      <c r="U75" s="2"/>
      <c r="V75" s="2"/>
      <c r="W75" s="3" t="str">
        <f>CONCATENATE("var js",Table1[[#This Row],[IDs]]," = document.getElementbyId('",Table1[[#This Row],[IDs]],"').innerHTML; //  ",Table1[[#This Row],[Site]])</f>
        <v>var jsD00 = document.getElementbyId('D00').innerHTML; //  Defense Acquisition University</v>
      </c>
      <c r="X75" s="1" t="str">
        <f t="shared" si="3"/>
        <v xml:space="preserve">        &lt;!--Defense Acquisition University - https://www.dau.mil/ --&gt;&lt;div class='column catAll catMilEd' style='margin-bottom: 0px;' id='D00'&gt;&lt;a href='https://www.dau.mil/' rel='noopener noreferrer' class='column hideMarquee'&gt;&lt;div class='armyCardContainer card'&gt;&lt;div class='armyCard'&gt;&lt;div&gt;&lt;p class='marquee'&gt;The Defense Acquisition University is a corporate university of the United States Department of Defense offering 'acquisition, technology, and logistics' training to military and Federal civilian staff and Federal contractors.&lt;/p&gt;&lt;img src='assets/Card-122.png' class='cardImage' loading='lazy'&gt;&lt;/div&gt;&lt;div class='title'&gt;
          &lt;span&gt;Defense Acquisition University&lt;/span&gt;&lt;/div&gt;&lt;/div&gt;&lt;/div&gt;&lt;/a&gt;&lt;/div&gt;&lt;script&gt;var jsD00 = document.getElementById('D00').innerHTML;&lt;/script&gt;</v>
      </c>
      <c r="Y7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Acquisition University - https://www.dau.mil/ --&gt;
      &lt;summary&gt;• &lt;a href='https://www.dau.mil/' rel='noopener noreferrer'&gt;Defense Acquisition University - https://www.dau.mil/&lt;/a&gt;&lt;/summary&gt;
      &lt;p&gt;The Defense Acquisition University is a corporate university of the United States Department of Defense offering 'acquisition, technology, and logistics' training to military and Federal civilian staff and Federal contractors.&lt;/p&gt;
    &lt;/details&gt;</v>
      </c>
      <c r="Z75" s="1" t="str">
        <f t="shared" si="4"/>
        <v xml:space="preserve">          &lt;!-- Defense Acquisition University - https://www.dau.mil/ --&gt;&lt;div id='dragD00' class='catAll catMilEd'&gt;&lt;div class='column hideMarquee' draggable='true' ondragstart='drag(event)' value='D00' id='D00'&gt;&lt;div class='armyCardContainer ssCard'&gt;&lt;div class='ssArmyCard'&gt;&lt;div&gt;&lt;p class='marquee'&gt;The Defense Acquisition University is a corporate university of the United States Department of Defense offering 'acquisition, technology, and logistics' training to military and Federal civilian staff and Federal contractors.&lt;/p&gt;&lt;img src='assets/Card-122.png' class='ssCardImage' draggable='false' loading='lazy'&gt;&lt;/div&gt;&lt;div class='ssTitle'&gt;&lt;span id='D00Title'&gt;Defense Acquisition University&lt;/span&gt;&lt;/div&gt;&lt;/div&gt;&lt;/div&gt;&lt;/div&gt;&lt;/div&gt;&lt;script&gt;var jsD00 = document.getElementById('dragD00').innerHTML;&lt;/script&gt;</v>
      </c>
      <c r="AA75" s="1" t="str">
        <f>CONCATENATE("var js",Table1[[#This Row],[IDs]]," = document.getElementbyId('drag",Table1[[#This Row],[IDs]],"').innerHTML; //  ",Table1[[#This Row],[Site]])</f>
        <v>var jsD00 = document.getElementbyId('dragD00').innerHTML; //  Defense Acquisition University</v>
      </c>
    </row>
    <row r="76" spans="1:27" ht="15" x14ac:dyDescent="0.25">
      <c r="A76" t="s">
        <v>466</v>
      </c>
      <c r="B76" t="s">
        <v>466</v>
      </c>
      <c r="C76" s="10" t="s">
        <v>465</v>
      </c>
      <c r="D76" t="s">
        <v>665</v>
      </c>
      <c r="E76" t="s">
        <v>664</v>
      </c>
      <c r="F76" s="2" t="s">
        <v>474</v>
      </c>
      <c r="G76" s="2" t="s">
        <v>900</v>
      </c>
      <c r="H76" s="2" t="s">
        <v>900</v>
      </c>
      <c r="I76" s="2"/>
      <c r="J76" s="2"/>
      <c r="K76" s="2"/>
      <c r="L76" s="2"/>
      <c r="M76" s="2"/>
      <c r="N76" s="2"/>
      <c r="O76" s="2" t="s">
        <v>18</v>
      </c>
      <c r="P76" s="2"/>
      <c r="Q76" s="2"/>
      <c r="R76" s="2"/>
      <c r="S76" s="2"/>
      <c r="T76" s="2"/>
      <c r="U76" s="2"/>
      <c r="V76" s="2"/>
      <c r="W76" s="3" t="str">
        <f>CONCATENATE("var js",Table1[[#This Row],[IDs]]," = document.getElementbyId('",Table1[[#This Row],[IDs]],"').innerHTML; //  ",Table1[[#This Row],[Site]])</f>
        <v>var jsD18 = document.getElementbyId('D18').innerHTML; //  Defense Civilian Interlligence Personnel System (DCIPS)</v>
      </c>
      <c r="X76" s="1" t="str">
        <f t="shared" si="3"/>
        <v xml:space="preserve">        &lt;!--Defense Civilian Interlligence Personnel System (DCIPS) - https://dcips.defense.gov/ --&gt;&lt;div class='column catAll catHuman' style='margin-bottom: 0px;' id='D18'&gt;&lt;a href='https://dcips.defense.gov/' rel='noopener noreferrer' class='column hideMarquee'&gt;&lt;div class='armyCardContainer card'&gt;&lt;div class='armyCard'&gt;&lt;div&gt;&lt;p class='marquee'&gt;The Defense Civilian Intelligence Personnel System (DCIPS) incorporates all DoD intelligence positions under a single, performance-based, mission-focused personnel management system. DCIPS serves as the common Defense Intelligence Enterprise system that helps to attract, retain, and reward the workforce needed to successfully carry out critical national security missions.&lt;/p&gt;&lt;img src='assets/Card-147.jpg' class='cardImage' loading='lazy'&gt;&lt;/div&gt;&lt;div class='title'&gt;
          &lt;span&gt;Defense Civilian Interlligence Personnel System (DCIPS)&lt;/span&gt;&lt;/div&gt;&lt;/div&gt;&lt;/div&gt;&lt;/a&gt;&lt;/div&gt;&lt;script&gt;var jsD18 = document.getElementById('D18').innerHTML;&lt;/script&gt;</v>
      </c>
      <c r="Y7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Civilian Interlligence Personnel System (DCIPS) - https://dcips.defense.gov/ --&gt;
      &lt;summary&gt;• &lt;a href='https://dcips.defense.gov/' rel='noopener noreferrer'&gt;Defense Civilian Interlligence Personnel System (DCIPS) - https://dcips.defense.gov/&lt;/a&gt;&lt;/summary&gt;
      &lt;p&gt;The Defense Civilian Intelligence Personnel System (DCIPS) incorporates all DoD intelligence positions under a single, performance-based, mission-focused personnel management system. DCIPS serves as the common Defense Intelligence Enterprise system that helps to attract, retain, and reward the workforce needed to successfully carry out critical national security missions.&lt;/p&gt;
    &lt;/details&gt;</v>
      </c>
      <c r="Z76" s="1" t="str">
        <f t="shared" si="4"/>
        <v xml:space="preserve">          &lt;!-- Defense Civilian Interlligence Personnel System (DCIPS) - https://dcips.defense.gov/ --&gt;&lt;div id='dragD18' class='catAll catHuman'&gt;&lt;div class='column hideMarquee' draggable='true' ondragstart='drag(event)' value='D18' id='D18'&gt;&lt;div class='armyCardContainer ssCard'&gt;&lt;div class='ssArmyCard'&gt;&lt;div&gt;&lt;p class='marquee'&gt;The Defense Civilian Intelligence Personnel System (DCIPS) incorporates all DoD intelligence positions under a single, performance-based, mission-focused personnel management system. DCIPS serves as the common Defense Intelligence Enterprise system that helps to attract, retain, and reward the workforce needed to successfully carry out critical national security missions.&lt;/p&gt;&lt;img src='assets/Card-147.jpg' class='ssCardImage' draggable='false' loading='lazy'&gt;&lt;/div&gt;&lt;div class='ssTitle'&gt;&lt;span id='D18Title'&gt;Defense Civilian Interlligence Personnel System (DCIPS)&lt;/span&gt;&lt;/div&gt;&lt;/div&gt;&lt;/div&gt;&lt;/div&gt;&lt;/div&gt;&lt;script&gt;var jsD18 = document.getElementById('dragD18').innerHTML;&lt;/script&gt;</v>
      </c>
      <c r="AA76" s="1" t="str">
        <f>CONCATENATE("var js",Table1[[#This Row],[IDs]]," = document.getElementbyId('drag",Table1[[#This Row],[IDs]],"').innerHTML; //  ",Table1[[#This Row],[Site]])</f>
        <v>var jsD18 = document.getElementbyId('dragD18').innerHTML; //  Defense Civilian Interlligence Personnel System (DCIPS)</v>
      </c>
    </row>
    <row r="77" spans="1:27" ht="15" hidden="1" x14ac:dyDescent="0.25">
      <c r="A77" t="s">
        <v>373</v>
      </c>
      <c r="B77" t="s">
        <v>373</v>
      </c>
      <c r="C77" s="5" t="s">
        <v>374</v>
      </c>
      <c r="D77" t="s">
        <v>667</v>
      </c>
      <c r="E77" t="s">
        <v>666</v>
      </c>
      <c r="F77" s="2" t="s">
        <v>133</v>
      </c>
      <c r="G77" s="2"/>
      <c r="H77" s="2"/>
      <c r="I77" s="2"/>
      <c r="J77" s="2"/>
      <c r="K77" s="2"/>
      <c r="L77" s="2"/>
      <c r="M77" s="2"/>
      <c r="N77" s="2"/>
      <c r="O77" s="2" t="s">
        <v>18</v>
      </c>
      <c r="P77" s="2"/>
      <c r="Q77" s="2"/>
      <c r="R77" s="2"/>
      <c r="S77" s="2"/>
      <c r="T77" s="2"/>
      <c r="U77" s="2"/>
      <c r="V77" s="2"/>
      <c r="W77" s="3" t="str">
        <f>CONCATENATE("var js",Table1[[#This Row],[IDs]]," = document.getElementbyId('",Table1[[#This Row],[IDs]],"').innerHTML; //  ",Table1[[#This Row],[Site]])</f>
        <v>var jsD01 = document.getElementbyId('D01').innerHTML; //  Defense Civilian Personnel Data System</v>
      </c>
      <c r="X77" s="1" t="str">
        <f>CONCATENATE("        &lt;!--",A77," - ",C77," --&gt;&lt;div class='column catAll",IF(I77="X"," catArmySites",""),IF(J77="X"," catCombatReadiness",""),IF(K77="X"," catDod",""),IF(L77="X"," catFamily",""),IF(M77="X"," catFinance",""),IF(N77="X"," catHealth",""),IF(O77="X"," catHuman",""),IF(P77="X"," catLegal",""),IF(Q77="X"," catProDev",""),IF(R77="X"," catTech",""),IF(S77="X"," catMilEd",""),IF(T77="X"," catCivEd",""),IF(U77="X"," catUsGov",""),"' style='margin-bottom: 0px;' id='",F77,"'&gt;&lt;a href='",C77,"' rel='noopener noreferrer' class='column hideMarquee'&gt;&lt;div class='armyCardContainer card'&gt;&lt;div class='armyCard'&gt;&lt;div&gt;&lt;p class='marquee'&gt;",E77,"&lt;/p&gt;",IF(H77="Yes","&lt;img src='assets/CaCRequired.png' title='A CAC is required to use some or all features of this site!' Class='cacLocked'&gt;",""),IF(G77="Yes","&lt;img src='assets/DODlock.png' title='This Site requires a DoD network connection to be used!' Class='dodLocked'&gt;",""),"&lt;img src='assets/",D77,"' class='cardImage' loading='lazy'&gt;&lt;/div&gt;&lt;div class='title'&gt;&lt;span&gt;",A77,"&lt;/span&gt;&lt;/div&gt;&lt;/div&gt;&lt;/div&gt;&lt;/a&gt;&lt;/div&gt;&lt;script&gt;var js",F77," = document.getElementbyId('",F77,"').innerHTML;&lt;/script&gt;")</f>
        <v xml:space="preserve">        &lt;!--Defense Civilian Personnel Data System - https://compo.dcpds.cpms.osd.mil/ --&gt;&lt;div class='column catAll catHuman' style='margin-bottom: 0px;' id='D01'&gt;&lt;a href='https://compo.dcpds.cpms.osd.mil/' rel='noopener noreferrer' class='column hideMarquee'&gt;&lt;div class='armyCardContainer card'&gt;&lt;div class='armyCard'&gt;&lt;div&gt;&lt;p class='marquee'&gt;The Defense Civilian Personnel Advisory Service is a multifunction, web-based civilian HR information management and transaction processing system. The core DCPDS system (based on the Oracle HR custom of the-shelf solution (COTS) product), is customized for Defense environments, and provides personnel transaction processing using Oracle Federal HR for appropriated fund, non-appropriated fund, local national and National Guard employees.&lt;/p&gt;&lt;img src='assets/Card-130.png' class='cardImage' loading='lazy'&gt;&lt;/div&gt;&lt;div class='title'&gt;&lt;span&gt;Defense Civilian Personnel Data System&lt;/span&gt;&lt;/div&gt;&lt;/div&gt;&lt;/div&gt;&lt;/a&gt;&lt;/div&gt;&lt;script&gt;var jsD01 = document.getElementbyId('D01').innerHTML;&lt;/script&gt;</v>
      </c>
      <c r="Y7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Civilian Personnel Data System - https://compo.dcpds.cpms.osd.mil/ --&gt;
      &lt;summary&gt;• &lt;a href='https://compo.dcpds.cpms.osd.mil/' rel='noopener noreferrer'&gt;Defense Civilian Personnel Data System - https://compo.dcpds.cpms.osd.mil/&lt;/a&gt;&lt;/summary&gt;
      &lt;p&gt;The Defense Civilian Personnel Advisory Service is a multifunction, web-based civilian HR information management and transaction processing system. The core DCPDS system (based on the Oracle HR custom of the-shelf solution (COTS) product), is customized for Defense environments, and provides personnel transaction processing using Oracle Federal HR for appropriated fund, non-appropriated fund, local national and National Guard employees.&lt;/p&gt;
    &lt;/details&gt;</v>
      </c>
      <c r="Z77" s="1" t="str">
        <f t="shared" si="4"/>
        <v xml:space="preserve">          &lt;!-- Defense Civilian Personnel Data System - https://compo.dcpds.cpms.osd.mil/ --&gt;&lt;div id='dragD01' class='catAll catHuman'&gt;&lt;div class='column hideMarquee' draggable='true' ondragstart='drag(event)' value='D01' id='D01'&gt;&lt;div class='armyCardContainer ssCard'&gt;&lt;div class='ssArmyCard'&gt;&lt;div&gt;&lt;p class='marquee'&gt;The Defense Civilian Personnel Advisory Service is a multifunction, web-based civilian HR information management and transaction processing system. The core DCPDS system (based on the Oracle HR custom of the-shelf solution (COTS) product), is customized for Defense environments, and provides personnel transaction processing using Oracle Federal HR for appropriated fund, non-appropriated fund, local national and National Guard employees.&lt;/p&gt;&lt;img src='assets/Card-130.png' class='ssCardImage' draggable='false' loading='lazy'&gt;&lt;/div&gt;&lt;div class='ssTitle'&gt;&lt;span id='D01Title'&gt;Defense Civilian Personnel Data System&lt;/span&gt;&lt;/div&gt;&lt;/div&gt;&lt;/div&gt;&lt;/div&gt;&lt;/div&gt;&lt;script&gt;var jsD01 = document.getElementById('dragD01').innerHTML;&lt;/script&gt;</v>
      </c>
      <c r="AA77" s="1" t="str">
        <f>CONCATENATE("var js",Table1[[#This Row],[IDs]]," = document.getElementbyId('drag",Table1[[#This Row],[IDs]],"').innerHTML; //  ",Table1[[#This Row],[Site]])</f>
        <v>var jsD01 = document.getElementbyId('dragD01').innerHTML; //  Defense Civilian Personnel Data System</v>
      </c>
    </row>
    <row r="78" spans="1:27" ht="15" x14ac:dyDescent="0.25">
      <c r="A78" t="s">
        <v>669</v>
      </c>
      <c r="B78" t="s">
        <v>669</v>
      </c>
      <c r="C78" s="5" t="s">
        <v>363</v>
      </c>
      <c r="D78" t="s">
        <v>670</v>
      </c>
      <c r="E78" t="s">
        <v>668</v>
      </c>
      <c r="F78" s="2" t="s">
        <v>136</v>
      </c>
      <c r="G78" s="2" t="s">
        <v>900</v>
      </c>
      <c r="H78" s="2" t="s">
        <v>552</v>
      </c>
      <c r="I78" s="2"/>
      <c r="J78" s="2"/>
      <c r="K78" s="2"/>
      <c r="L78" s="2" t="s">
        <v>18</v>
      </c>
      <c r="M78" s="2"/>
      <c r="N78" s="2"/>
      <c r="O78" s="2" t="s">
        <v>18</v>
      </c>
      <c r="P78" s="2"/>
      <c r="Q78" s="2"/>
      <c r="R78" s="2"/>
      <c r="S78" s="2"/>
      <c r="T78" s="2"/>
      <c r="U78" s="2"/>
      <c r="V78" s="2"/>
      <c r="W78" s="3" t="str">
        <f>CONCATENATE("var js",Table1[[#This Row],[IDs]]," = document.getElementbyId('",Table1[[#This Row],[IDs]],"').innerHTML; //  ",Table1[[#This Row],[Site]])</f>
        <v>var jsD02 = document.getElementbyId('D02').innerHTML; //  Defense Enrollment Eligibility Readiness (DEERS)</v>
      </c>
      <c r="X78" s="1" t="str">
        <f>CONCATENATE("        &lt;!--",A78," - ",C78," --&gt;&lt;div class='column catAll",IF(I78="X"," catArmySites",""),IF(J78="X"," catCombatReadiness",""),IF(K78="X"," catDod",""),IF(L78="X"," catFamily",""),IF(M78="X"," catFinance",""),IF(N78="X"," catHealth",""),IF(O78="X"," catHuman",""),IF(P78="X"," catLegal",""),IF(Q78="X"," catProDev",""),IF(R78="X"," catTech",""),IF(S78="X"," catMilEd",""),IF(T78="X"," catCivEd",""),IF(U78="X"," catUsGov",""),"' style='margin-bottom: 0px;' id='",F78,"'&gt;&lt;a href='",C78,"' rel='noopener noreferrer' class='column hideMarquee'&gt;&lt;div class='armyCardContainer card'&gt;&lt;div class='armyCard'&gt;&lt;div&gt;&lt;p class='marquee'&gt;",E78,"&lt;/p&gt;",IF(H78="Yes","&lt;img src='assets/CaCRequired.png' title='A CAC is required to use some or all features of this site!' Class='cacLocked'&gt;",""),IF(G78="Yes","&lt;img src='assets/DODlock.png' title='This Site requires a DoD network connection to be used!' Class='dodLocked'&gt;",""),"&lt;img src='assets/",D78,"' class='cardImage' loading='lazy'&gt;&lt;/div&gt;&lt;div class='title'&gt;
          &lt;span&gt;",A78,"&lt;/span&gt;&lt;/div&gt;&lt;/div&gt;&lt;/div&gt;&lt;/a&gt;&lt;/div&gt;&lt;script&gt;var js",F78," = document.getElementById('",F78,"').innerHTML;&lt;/script&gt;")</f>
        <v xml:space="preserve">        &lt;!--Defense Enrollment Eligibility Readiness (DEERS) - https://www.tricare.mil/DEERS/ --&gt;&lt;div class='column catAll catFamily catHuman' style='margin-bottom: 0px;' id='D02'&gt;&lt;a href='https://www.tricare.mil/DEERS/' rel='noopener noreferrer' class='column hideMarquee'&gt;&lt;div class='armyCardContainer card'&gt;&lt;div class='armyCard'&gt;&lt;div&gt;&lt;p class='marquee'&gt;Defense Enrollment Eligibility Reporting System (DEERS) is a computerized database for United States Service members, military retirees, 100% VA Disabled Veterans, dependents, DoD active Contractors, and others worldwide who are entitled to Public Key Infrastructure and TRICARE eligibility.&lt;/p&gt;&lt;img src='assets/CaCRequired.png' title='A CAC is required to use some or all features of this site!' Class='cacLocked'&gt;&lt;img src='assets/Card-068.png' class='cardImage' loading='lazy'&gt;&lt;/div&gt;&lt;div class='title'&gt;
          &lt;span&gt;Defense Enrollment Eligibility Readiness (DEERS)&lt;/span&gt;&lt;/div&gt;&lt;/div&gt;&lt;/div&gt;&lt;/a&gt;&lt;/div&gt;&lt;script&gt;var jsD02 = document.getElementById('D02').innerHTML;&lt;/script&gt;</v>
      </c>
      <c r="Y7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Enrollment Eligibility Readiness (DEERS) - https://www.tricare.mil/DEERS/ --&gt;
      &lt;summary&gt;• &lt;a href='https://www.tricare.mil/DEERS/' rel='noopener noreferrer'&gt;Defense Enrollment Eligibility Readiness (DEERS) - https://www.tricare.mil/DEERS/&lt;/a&gt;&lt;/summary&gt;
      &lt;p&gt;Defense Enrollment Eligibility Reporting System (DEERS) is a computerized database for United States Service members, military retirees, 100% VA Disabled Veterans, dependents, DoD active Contractors, and others worldwide who are entitled to Public Key Infrastructure and TRICARE eligibility.&lt;/p&gt;
    &lt;/details&gt;</v>
      </c>
      <c r="Z78" s="1" t="str">
        <f t="shared" si="4"/>
        <v xml:space="preserve">          &lt;!-- Defense Enrollment Eligibility Readiness (DEERS) - https://www.tricare.mil/DEERS/ --&gt;&lt;div id='dragD02' class='catAll catFamily catHuman'&gt;&lt;div class='column hideMarquee' draggable='true' ondragstart='drag(event)' value='D02' id='D02'&gt;&lt;div class='armyCardContainer ssCard'&gt;&lt;div class='ssArmyCard'&gt;&lt;div&gt;&lt;p class='marquee'&gt;Defense Enrollment Eligibility Reporting System (DEERS) is a computerized database for United States Service members, military retirees, 100% VA Disabled Veterans, dependents, DoD active Contractors, and others worldwide who are entitled to Public Key Infrastructure and TRICARE eligibility.&lt;/p&gt;&lt;img src='assets/Card-068.png' class='ssCardImage' draggable='false' loading='lazy'&gt;&lt;/div&gt;&lt;div class='ssTitle'&gt;&lt;span id='D02Title'&gt;Defense Enrollment Eligibility Readiness (DEERS)&lt;/span&gt;&lt;/div&gt;&lt;/div&gt;&lt;/div&gt;&lt;/div&gt;&lt;/div&gt;&lt;script&gt;var jsD02 = document.getElementById('dragD02').innerHTML;&lt;/script&gt;</v>
      </c>
      <c r="AA78" s="1" t="str">
        <f>CONCATENATE("var js",Table1[[#This Row],[IDs]]," = document.getElementbyId('drag",Table1[[#This Row],[IDs]],"').innerHTML; //  ",Table1[[#This Row],[Site]])</f>
        <v>var jsD02 = document.getElementbyId('dragD02').innerHTML; //  Defense Enrollment Eligibility Readiness (DEERS)</v>
      </c>
    </row>
    <row r="79" spans="1:27" ht="15" x14ac:dyDescent="0.25">
      <c r="A79" t="s">
        <v>131</v>
      </c>
      <c r="B79" t="s">
        <v>131</v>
      </c>
      <c r="C79" s="10" t="s">
        <v>132</v>
      </c>
      <c r="D79" t="s">
        <v>672</v>
      </c>
      <c r="E79" t="s">
        <v>671</v>
      </c>
      <c r="F79" s="2" t="s">
        <v>141</v>
      </c>
      <c r="G79" s="2" t="s">
        <v>900</v>
      </c>
      <c r="H79" s="2" t="s">
        <v>552</v>
      </c>
      <c r="I79" s="2"/>
      <c r="J79" s="2"/>
      <c r="K79" s="2" t="s">
        <v>18</v>
      </c>
      <c r="L79" s="2"/>
      <c r="M79" s="2" t="s">
        <v>18</v>
      </c>
      <c r="N79" s="2"/>
      <c r="O79" s="2"/>
      <c r="P79" s="2"/>
      <c r="Q79" s="2"/>
      <c r="R79" s="2"/>
      <c r="S79" s="2"/>
      <c r="T79" s="2"/>
      <c r="U79" s="2"/>
      <c r="V79" s="2"/>
      <c r="W79" s="3" t="str">
        <f>CONCATENATE("var js",Table1[[#This Row],[IDs]]," = document.getElementbyId('",Table1[[#This Row],[IDs]],"').innerHTML; //  ",Table1[[#This Row],[Site]])</f>
        <v>var jsD03 = document.getElementbyId('D03').innerHTML; //  Defense Finance and Accounting Service (DFAS)</v>
      </c>
      <c r="X79" s="1" t="str">
        <f>CONCATENATE("        &lt;!--",A79," - ",C79," --&gt;&lt;div class='column catAll",IF(I79="X"," catArmySites",""),IF(J79="X"," catCombatReadiness",""),IF(K79="X"," catDod",""),IF(L79="X"," catFamily",""),IF(M79="X"," catFinance",""),IF(N79="X"," catHealth",""),IF(O79="X"," catHuman",""),IF(P79="X"," catLegal",""),IF(Q79="X"," catProDev",""),IF(R79="X"," catTech",""),IF(S79="X"," catMilEd",""),IF(T79="X"," catCivEd",""),IF(U79="X"," catUsGov",""),"' style='margin-bottom: 0px;' id='",F79,"'&gt;&lt;a href='",C79,"' rel='noopener noreferrer' class='column hideMarquee'&gt;&lt;div class='armyCardContainer card'&gt;&lt;div class='armyCard'&gt;&lt;div&gt;&lt;p class='marquee'&gt;",E79,"&lt;/p&gt;",IF(H79="Yes","&lt;img src='assets/CaCRequired.png' title='A CAC is required to use some or all features of this site!' Class='cacLocked'&gt;",""),IF(G79="Yes","&lt;img src='assets/DODlock.png' title='This Site requires a DoD network connection to be used!' Class='dodLocked'&gt;",""),"&lt;img src='assets/",D79,"' class='cardImage' loading='lazy'&gt;&lt;/div&gt;&lt;div class='title'&gt;
          &lt;span&gt;",A79,"&lt;/span&gt;&lt;/div&gt;&lt;/div&gt;&lt;/div&gt;&lt;/a&gt;&lt;/div&gt;&lt;script&gt;var js",F79," = document.getElementById('",F79,"').innerHTML;&lt;/script&gt;")</f>
        <v xml:space="preserve">        &lt;!--Defense Finance and Accounting Service (DFAS) - https://www.dfas.mil/ --&gt;&lt;div class='column catAll catDod catFinance' style='margin-bottom: 0px;' id='D03'&gt;&lt;a href='https://www.dfas.mil/' rel='noopener noreferrer' class='column hideMarquee'&gt;&lt;div class='armyCardContainer card'&gt;&lt;div class='armyCard'&gt;&lt;div&gt;&lt;p class='marquee'&gt;Defense Finance and Accounting Service (DFAS) manage the finance and accounting serves for the U.S. Army.&lt;/p&gt;&lt;img src='assets/CaCRequired.png' title='A CAC is required to use some or all features of this site!' Class='cacLocked'&gt;&lt;img src='assets/Card-061.png' class='cardImage' loading='lazy'&gt;&lt;/div&gt;&lt;div class='title'&gt;
          &lt;span&gt;Defense Finance and Accounting Service (DFAS)&lt;/span&gt;&lt;/div&gt;&lt;/div&gt;&lt;/div&gt;&lt;/a&gt;&lt;/div&gt;&lt;script&gt;var jsD03 = document.getElementById('D03').innerHTML;&lt;/script&gt;</v>
      </c>
      <c r="Y7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Finance and Accounting Service (DFAS) - https://www.dfas.mil/ --&gt;
      &lt;summary&gt;• &lt;a href='https://www.dfas.mil/' rel='noopener noreferrer'&gt;Defense Finance and Accounting Service (DFAS) - https://www.dfas.mil/&lt;/a&gt;&lt;/summary&gt;
      &lt;p&gt;Defense Finance and Accounting Service (DFAS) manage the finance and accounting serves for the U.S. Army.&lt;/p&gt;
    &lt;/details&gt;</v>
      </c>
      <c r="Z79" s="1" t="str">
        <f t="shared" si="4"/>
        <v xml:space="preserve">          &lt;!-- Defense Finance and Accounting Service (DFAS) - https://www.dfas.mil/ --&gt;&lt;div id='dragD03' class='catAll catDod catFinance'&gt;&lt;div class='column hideMarquee' draggable='true' ondragstart='drag(event)' value='D03' id='D03'&gt;&lt;div class='armyCardContainer ssCard'&gt;&lt;div class='ssArmyCard'&gt;&lt;div&gt;&lt;p class='marquee'&gt;Defense Finance and Accounting Service (DFAS) manage the finance and accounting serves for the U.S. Army.&lt;/p&gt;&lt;img src='assets/Card-061.png' class='ssCardImage' draggable='false' loading='lazy'&gt;&lt;/div&gt;&lt;div class='ssTitle'&gt;&lt;span id='D03Title'&gt;Defense Finance and Accounting Service (DFAS)&lt;/span&gt;&lt;/div&gt;&lt;/div&gt;&lt;/div&gt;&lt;/div&gt;&lt;/div&gt;&lt;script&gt;var jsD03 = document.getElementById('dragD03').innerHTML;&lt;/script&gt;</v>
      </c>
      <c r="AA79" s="1" t="str">
        <f>CONCATENATE("var js",Table1[[#This Row],[IDs]]," = document.getElementbyId('drag",Table1[[#This Row],[IDs]],"').innerHTML; //  ",Table1[[#This Row],[Site]])</f>
        <v>var jsD03 = document.getElementbyId('dragD03').innerHTML; //  Defense Finance and Accounting Service (DFAS)</v>
      </c>
    </row>
    <row r="80" spans="1:27" ht="15" hidden="1" x14ac:dyDescent="0.25">
      <c r="A80" t="s">
        <v>1068</v>
      </c>
      <c r="C80" s="10" t="s">
        <v>1069</v>
      </c>
      <c r="F80" s="2"/>
      <c r="G80" s="2"/>
      <c r="H80" s="2"/>
      <c r="I80" s="2"/>
      <c r="J80" s="2"/>
      <c r="K80" s="2"/>
      <c r="L80" s="2"/>
      <c r="M80" s="2"/>
      <c r="N80" s="2"/>
      <c r="O80" s="2"/>
      <c r="P80" s="2"/>
      <c r="Q80" s="2"/>
      <c r="R80" s="2"/>
      <c r="S80" s="2"/>
      <c r="T80" s="2"/>
      <c r="U80" s="2"/>
      <c r="V80" s="2"/>
      <c r="W80" s="3" t="str">
        <f>CONCATENATE("var js",Table1[[#This Row],[IDs]]," = document.getElementbyId('",Table1[[#This Row],[IDs]],"').innerHTML; //  ",Table1[[#This Row],[Site]])</f>
        <v>var js = document.getElementbyId('').innerHTML; //  Defense Information System for Security (DISS)</v>
      </c>
      <c r="X80" s="1" t="str">
        <f>CONCATENATE("        &lt;!--",A80," - ",C80," --&gt;
        &lt;div class='column catAll",IF(I80="X"," catArmySites",""),IF(J80="X"," catCombatReadiness",""),IF(K80="X"," catDod",""),IF(L80="X"," catFamily",""),IF(M80="X"," catFinance",""),IF(N80="X"," catHealth",""),IF(O80="X"," catHuman",""),IF(P80="X"," catLegal",""),IF(Q80="X"," catProDev",""),IF(R80="X"," catTech",""),IF(S80="X"," catMilEd",""),IF(T80="X"," catCivEd",""),IF(U80="X"," catUsGov",""),"' style='margin-bottom: 0px;' id='",F80,"'&gt;
          &lt;a href='",C80,"' rel='noopener noreferrer' class='column hideMarquee'&gt;
            &lt;div class='armyCardContainer card'&gt;
              &lt;div class='armyCard'&gt;
                &lt;div&gt;
                  &lt;p class='marquee'&gt;",E80,"&lt;/p&gt;",
IF(H80="Yes","									&lt;img src='assets/CaCRequired.png'  title='A CAC is required to use some or all features of this site!' Class='cacLocked'&gt;
",""),IF(G80="Yes","									&lt;img src='assets/DODlock.png' title='This Site requires a DoD network connection to be used!' Class='dodLocked'&gt;
",""),"
                  &lt;img src='assets/",D80,"' class='cardImage' loading='lazy'&gt;
                &lt;/div&gt;
                &lt;div class='title'&gt;
                  &lt;span&gt;",A80,"&lt;/span&gt;
                &lt;/div&gt;
              &lt;/div&gt;
            &lt;/div&gt;
          &lt;/a&gt;
        &lt;/div&gt;")</f>
        <v xml:space="preserve">        &lt;!--Defense Information System for Security (DISS) - https://www.dcsa.mil/Systems-Applications/Defense-Information-System-for-Security-DISS/ --&gt;
        &lt;div class='column catAll' style='margin-bottom: 0px;' id=''&gt;
          &lt;a href='https://www.dcsa.mil/Systems-Applications/Defense-Information-System-for-Security-DISS/' rel='noopener noreferrer' class='column hideMarquee'&gt;
            &lt;div class='armyCardContainer card'&gt;
              &lt;div class='armyCard'&gt;
                &lt;div&gt;
                  &lt;p class='marquee'&gt;&lt;/p&gt;
                  &lt;img src='assets/' class='cardImage' loading='lazy'&gt;
                &lt;/div&gt;
                &lt;div class='title'&gt;
                  &lt;span&gt;Defense Information System for Security (DISS)&lt;/span&gt;
                &lt;/div&gt;
              &lt;/div&gt;
            &lt;/div&gt;
          &lt;/a&gt;
        &lt;/div&gt;</v>
      </c>
      <c r="Y8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Information System for Security (DISS) - https://www.dcsa.mil/Systems-Applications/Defense-Information-System-for-Security-DISS/ --&gt;
      &lt;summary&gt;• &lt;a href='https://www.dcsa.mil/Systems-Applications/Defense-Information-System-for-Security-DISS/' rel='noopener noreferrer'&gt;Defense Information System for Security (DISS) - https://www.dcsa.mil/Systems-Applications/Defense-Information-System-for-Security-DISS/&lt;/a&gt;&lt;/summary&gt;
      &lt;p&gt;&lt;/p&gt;
    &lt;/details&gt;</v>
      </c>
      <c r="Z80" s="1" t="str">
        <f t="shared" si="4"/>
        <v xml:space="preserve">          &lt;!--  - https://www.dcsa.mil/Systems-Applications/Defense-Information-System-for-Security-DISS/ --&gt;&lt;div id='drag' class='catAll'&gt;&lt;div class='column hideMarquee' draggable='true' ondragstart='drag(event)' value='' id=''&gt;&lt;div class='armyCardContainer ssCard'&gt;&lt;div class='ssArmyCard'&gt;&lt;div&gt;&lt;p class='marquee'&gt;&lt;/p&gt;&lt;img src='assets/' class='ssCardImage' draggable='false' loading='lazy'&gt;&lt;/div&gt;&lt;div class='ssTitle'&gt;&lt;span id='Title'&gt;Defense Information System for Security (DISS)&lt;/span&gt;&lt;/div&gt;&lt;/div&gt;&lt;/div&gt;&lt;/div&gt;&lt;/div&gt;&lt;script&gt;var js = document.getElementById('drag').innerHTML;&lt;/script&gt;</v>
      </c>
      <c r="AA80" s="1" t="str">
        <f>CONCATENATE("var js",Table1[[#This Row],[IDs]]," = document.getElementbyId('drag",Table1[[#This Row],[IDs]],"').innerHTML; //  ",Table1[[#This Row],[Site]])</f>
        <v>var js = document.getElementbyId('drag').innerHTML; //  Defense Information System for Security (DISS)</v>
      </c>
    </row>
    <row r="81" spans="1:27" ht="15" x14ac:dyDescent="0.25">
      <c r="A81" t="s">
        <v>134</v>
      </c>
      <c r="B81" t="s">
        <v>134</v>
      </c>
      <c r="C81" s="10" t="s">
        <v>135</v>
      </c>
      <c r="D81" s="1" t="s">
        <v>1022</v>
      </c>
      <c r="E81" t="s">
        <v>673</v>
      </c>
      <c r="F81" s="2" t="s">
        <v>144</v>
      </c>
      <c r="G81" s="2" t="s">
        <v>900</v>
      </c>
      <c r="H81" s="2" t="s">
        <v>552</v>
      </c>
      <c r="I81" s="2"/>
      <c r="J81" s="2"/>
      <c r="K81" s="2"/>
      <c r="L81" s="2"/>
      <c r="M81" s="2"/>
      <c r="N81" s="2"/>
      <c r="O81" s="2"/>
      <c r="P81" s="2"/>
      <c r="Q81" s="2"/>
      <c r="R81" s="2" t="s">
        <v>18</v>
      </c>
      <c r="S81" s="2"/>
      <c r="T81" s="2"/>
      <c r="U81" s="2"/>
      <c r="V81" s="2"/>
      <c r="W81" s="3" t="str">
        <f>CONCATENATE("var js",Table1[[#This Row],[IDs]]," = document.getElementbyId('",Table1[[#This Row],[IDs]],"').innerHTML; //  ",Table1[[#This Row],[Site]])</f>
        <v>var jsD04 = document.getElementbyId('D04').innerHTML; //  Defense Information Systems Agency</v>
      </c>
      <c r="X81" s="1" t="str">
        <f t="shared" ref="X81:X101" si="5">CONCATENATE("        &lt;!--",A81," - ",C81," --&gt;&lt;div class='column catAll",IF(I81="X"," catArmySites",""),IF(J81="X"," catCombatReadiness",""),IF(K81="X"," catDod",""),IF(L81="X"," catFamily",""),IF(M81="X"," catFinance",""),IF(N81="X"," catHealth",""),IF(O81="X"," catHuman",""),IF(P81="X"," catLegal",""),IF(Q81="X"," catProDev",""),IF(R81="X"," catTech",""),IF(S81="X"," catMilEd",""),IF(T81="X"," catCivEd",""),IF(U81="X"," catUsGov",""),"' style='margin-bottom: 0px;' id='",F81,"'&gt;&lt;a href='",C81,"' rel='noopener noreferrer' class='column hideMarquee'&gt;&lt;div class='armyCardContainer card'&gt;&lt;div class='armyCard'&gt;&lt;div&gt;&lt;p class='marquee'&gt;",E81,"&lt;/p&gt;",IF(H81="Yes","&lt;img src='assets/CaCRequired.png' title='A CAC is required to use some or all features of this site!' Class='cacLocked'&gt;",""),IF(G81="Yes","&lt;img src='assets/DODlock.png' title='This Site requires a DoD network connection to be used!' Class='dodLocked'&gt;",""),"&lt;img src='assets/",D81,"' class='cardImage' loading='lazy'&gt;&lt;/div&gt;&lt;div class='title'&gt;
          &lt;span&gt;",A81,"&lt;/span&gt;&lt;/div&gt;&lt;/div&gt;&lt;/div&gt;&lt;/a&gt;&lt;/div&gt;&lt;script&gt;var js",F81," = document.getElementById('",F81,"').innerHTML;&lt;/script&gt;")</f>
        <v xml:space="preserve">        &lt;!--Defense Information Systems Agency - https://disa.deps.mil/ext/cop/mae/SitePages/Programs.aspx --&gt;&lt;div class='column catAll catTech' style='margin-bottom: 0px;' id='D04'&gt;&lt;a href='https://disa.deps.mil/ext/cop/mae/SitePages/Programs.aspx' rel='noopener noreferrer' class='column hideMarquee'&gt;&lt;div class='armyCardContainer card'&gt;&lt;div class='armyCard'&gt;&lt;div&gt;&lt;p class='marquee'&gt;Defense Information Systems Agency enable mission operations by providing assured communications through the delivery of optimized cyber infrastructure solutions for our global partners.&lt;/p&gt;&lt;img src='assets/CaCRequired.png' title='A CAC is required to use some or all features of this site!' Class='cacLocked'&gt;&lt;img src='assets/Card-037.png' class='cardImage' loading='lazy'&gt;&lt;/div&gt;&lt;div class='title'&gt;
          &lt;span&gt;Defense Information Systems Agency&lt;/span&gt;&lt;/div&gt;&lt;/div&gt;&lt;/div&gt;&lt;/a&gt;&lt;/div&gt;&lt;script&gt;var jsD04 = document.getElementById('D04').innerHTML;&lt;/script&gt;</v>
      </c>
      <c r="Y8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Information Systems Agency - https://disa.deps.mil/ext/cop/mae/SitePages/Programs.aspx --&gt;
      &lt;summary&gt;• &lt;a href='https://disa.deps.mil/ext/cop/mae/SitePages/Programs.aspx' rel='noopener noreferrer'&gt;Defense Information Systems Agency - https://disa.deps.mil/ext/cop/mae/SitePages/Programs.aspx&lt;/a&gt;&lt;/summary&gt;
      &lt;p&gt;Defense Information Systems Agency enable mission operations by providing assured communications through the delivery of optimized cyber infrastructure solutions for our global partners.&lt;/p&gt;
    &lt;/details&gt;</v>
      </c>
      <c r="Z81" s="1" t="str">
        <f t="shared" si="4"/>
        <v xml:space="preserve">          &lt;!-- Defense Information Systems Agency - https://disa.deps.mil/ext/cop/mae/SitePages/Programs.aspx --&gt;&lt;div id='dragD04' class='catAll catTech'&gt;&lt;div class='column hideMarquee' draggable='true' ondragstart='drag(event)' value='D04' id='D04'&gt;&lt;div class='armyCardContainer ssCard'&gt;&lt;div class='ssArmyCard'&gt;&lt;div&gt;&lt;p class='marquee'&gt;Defense Information Systems Agency enable mission operations by providing assured communications through the delivery of optimized cyber infrastructure solutions for our global partners.&lt;/p&gt;&lt;img src='assets/Card-037.png' class='ssCardImage' draggable='false' loading='lazy'&gt;&lt;/div&gt;&lt;div class='ssTitle'&gt;&lt;span id='D04Title'&gt;Defense Information Systems Agency&lt;/span&gt;&lt;/div&gt;&lt;/div&gt;&lt;/div&gt;&lt;/div&gt;&lt;/div&gt;&lt;script&gt;var jsD04 = document.getElementById('dragD04').innerHTML;&lt;/script&gt;</v>
      </c>
      <c r="AA81" s="1" t="str">
        <f>CONCATENATE("var js",Table1[[#This Row],[IDs]]," = document.getElementbyId('drag",Table1[[#This Row],[IDs]],"').innerHTML; //  ",Table1[[#This Row],[Site]])</f>
        <v>var jsD04 = document.getElementbyId('dragD04').innerHTML; //  Defense Information Systems Agency</v>
      </c>
    </row>
    <row r="82" spans="1:27" ht="15" x14ac:dyDescent="0.25">
      <c r="A82" t="s">
        <v>137</v>
      </c>
      <c r="B82" t="s">
        <v>137</v>
      </c>
      <c r="C82" s="10" t="s">
        <v>138</v>
      </c>
      <c r="D82" t="s">
        <v>675</v>
      </c>
      <c r="E82" t="s">
        <v>674</v>
      </c>
      <c r="F82" s="2" t="s">
        <v>147</v>
      </c>
      <c r="G82" s="2" t="s">
        <v>900</v>
      </c>
      <c r="H82" s="2" t="s">
        <v>552</v>
      </c>
      <c r="I82" s="2"/>
      <c r="J82" s="2"/>
      <c r="K82" s="2" t="s">
        <v>18</v>
      </c>
      <c r="L82" s="2"/>
      <c r="M82" s="2"/>
      <c r="N82" s="2"/>
      <c r="O82" s="2" t="s">
        <v>18</v>
      </c>
      <c r="P82" s="2"/>
      <c r="Q82" s="2"/>
      <c r="R82" s="2"/>
      <c r="S82" s="2"/>
      <c r="T82" s="2"/>
      <c r="U82" s="2"/>
      <c r="V82" s="2"/>
      <c r="W82" s="3" t="str">
        <f>CONCATENATE("var js",Table1[[#This Row],[IDs]]," = document.getElementbyId('",Table1[[#This Row],[IDs]],"').innerHTML; //  ",Table1[[#This Row],[Site]])</f>
        <v>var jsD05 = document.getElementbyId('D05').innerHTML; //  Defense Logistics Agency</v>
      </c>
      <c r="X82" s="1" t="str">
        <f t="shared" si="5"/>
        <v xml:space="preserve">        &lt;!--Defense Logistics Agency - https://business.dla.mil/landing/index.html --&gt;&lt;div class='column catAll catDod catHuman' style='margin-bottom: 0px;' id='D05'&gt;&lt;a href='https://business.dla.mil/landing/index.html' rel='noopener noreferrer' class='column hideMarquee'&gt;&lt;div class='armyCardContainer card'&gt;&lt;div class='armyCard'&gt;&lt;div&gt;&lt;p class='marquee'&gt;The Defense Logistics Agency is the Department of Defense's combat logistics support agency. DLA provides the Army, Marine Corps, Navy, Air Force, other federal agencies and partner nation armed forces with a full spectrum of logistics, acquisition and technical services. DLA sources and provides nearly all of the consumable items America’s military forces need to operate – from food, fuel and energy to uniforms, medical supplies and construction material.&lt;/p&gt;&lt;img src='assets/CaCRequired.png' title='A CAC is required to use some or all features of this site!' Class='cacLocked'&gt;&lt;img src='assets/Card-115.png' class='cardImage' loading='lazy'&gt;&lt;/div&gt;&lt;div class='title'&gt;
          &lt;span&gt;Defense Logistics Agency&lt;/span&gt;&lt;/div&gt;&lt;/div&gt;&lt;/div&gt;&lt;/a&gt;&lt;/div&gt;&lt;script&gt;var jsD05 = document.getElementById('D05').innerHTML;&lt;/script&gt;</v>
      </c>
      <c r="Y8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Logistics Agency - https://business.dla.mil/landing/index.html --&gt;
      &lt;summary&gt;• &lt;a href='https://business.dla.mil/landing/index.html' rel='noopener noreferrer'&gt;Defense Logistics Agency - https://business.dla.mil/landing/index.html&lt;/a&gt;&lt;/summary&gt;
      &lt;p&gt;The Defense Logistics Agency is the Department of Defense's combat logistics support agency. DLA provides the Army, Marine Corps, Navy, Air Force, other federal agencies and partner nation armed forces with a full spectrum of logistics, acquisition and technical services. DLA sources and provides nearly all of the consumable items America’s military forces need to operate – from food, fuel and energy to uniforms, medical supplies and construction material.&lt;/p&gt;
    &lt;/details&gt;</v>
      </c>
      <c r="Z82" s="1" t="str">
        <f t="shared" si="4"/>
        <v xml:space="preserve">          &lt;!-- Defense Logistics Agency - https://business.dla.mil/landing/index.html --&gt;&lt;div id='dragD05' class='catAll catDod catHuman'&gt;&lt;div class='column hideMarquee' draggable='true' ondragstart='drag(event)' value='D05' id='D05'&gt;&lt;div class='armyCardContainer ssCard'&gt;&lt;div class='ssArmyCard'&gt;&lt;div&gt;&lt;p class='marquee'&gt;The Defense Logistics Agency is the Department of Defense's combat logistics support agency. DLA provides the Army, Marine Corps, Navy, Air Force, other federal agencies and partner nation armed forces with a full spectrum of logistics, acquisition and technical services. DLA sources and provides nearly all of the consumable items America’s military forces need to operate – from food, fuel and energy to uniforms, medical supplies and construction material.&lt;/p&gt;&lt;img src='assets/Card-115.png' class='ssCardImage' draggable='false' loading='lazy'&gt;&lt;/div&gt;&lt;div class='ssTitle'&gt;&lt;span id='D05Title'&gt;Defense Logistics Agency&lt;/span&gt;&lt;/div&gt;&lt;/div&gt;&lt;/div&gt;&lt;/div&gt;&lt;/div&gt;&lt;script&gt;var jsD05 = document.getElementById('dragD05').innerHTML;&lt;/script&gt;</v>
      </c>
      <c r="AA82" s="1" t="str">
        <f>CONCATENATE("var js",Table1[[#This Row],[IDs]]," = document.getElementbyId('drag",Table1[[#This Row],[IDs]],"').innerHTML; //  ",Table1[[#This Row],[Site]])</f>
        <v>var jsD05 = document.getElementbyId('dragD05').innerHTML; //  Defense Logistics Agency</v>
      </c>
    </row>
    <row r="83" spans="1:27" ht="15" x14ac:dyDescent="0.25">
      <c r="A83" t="s">
        <v>375</v>
      </c>
      <c r="B83" t="s">
        <v>375</v>
      </c>
      <c r="C83" s="5" t="s">
        <v>376</v>
      </c>
      <c r="D83" t="s">
        <v>677</v>
      </c>
      <c r="E83" t="s">
        <v>676</v>
      </c>
      <c r="F83" s="2" t="s">
        <v>150</v>
      </c>
      <c r="G83" s="2" t="s">
        <v>900</v>
      </c>
      <c r="H83" s="2" t="s">
        <v>900</v>
      </c>
      <c r="I83" s="2"/>
      <c r="J83" s="2"/>
      <c r="K83" s="2"/>
      <c r="L83" s="2"/>
      <c r="M83" s="2"/>
      <c r="N83" s="2"/>
      <c r="O83" s="2" t="s">
        <v>18</v>
      </c>
      <c r="P83" s="2"/>
      <c r="Q83" s="2"/>
      <c r="R83" s="2"/>
      <c r="S83" s="2"/>
      <c r="T83" s="2"/>
      <c r="U83" s="2"/>
      <c r="V83" s="2"/>
      <c r="W83" s="3" t="str">
        <f>CONCATENATE("var js",Table1[[#This Row],[IDs]]," = document.getElementbyId('",Table1[[#This Row],[IDs]],"').innerHTML; //  ",Table1[[#This Row],[Site]])</f>
        <v>var jsD06 = document.getElementbyId('D06').innerHTML; //  Defense Manpower Data Center</v>
      </c>
      <c r="X83" s="1" t="str">
        <f t="shared" si="5"/>
        <v xml:space="preserve">        &lt;!--Defense Manpower Data Center - https://dwp.dmdc.osd.mil/dwp/app/main --&gt;&lt;div class='column catAll catHuman' style='margin-bottom: 0px;' id='D06'&gt;&lt;a href='https://dwp.dmdc.osd.mil/dwp/app/main' rel='noopener noreferrer' class='column hideMarquee'&gt;&lt;div class='armyCardContainer card'&gt;&lt;div class='armyCard'&gt;&lt;div&gt;&lt;p class='marquee'&gt;Defense Manpower Data Center is the leader in joint information sharing and support on DoD human resource issues, the central source for identifying, authenticating, authorizing, and providing information on personnel during and after their affiliation with DoD and the one, central access point for information and assistance on DoD entitlements, benefits, and medical readiness for uniformed service members, veterans, and their families.&lt;/p&gt;&lt;img src='assets/Card-034.png' class='cardImage' loading='lazy'&gt;&lt;/div&gt;&lt;div class='title'&gt;
          &lt;span&gt;Defense Manpower Data Center&lt;/span&gt;&lt;/div&gt;&lt;/div&gt;&lt;/div&gt;&lt;/a&gt;&lt;/div&gt;&lt;script&gt;var jsD06 = document.getElementById('D06').innerHTML;&lt;/script&gt;</v>
      </c>
      <c r="Y8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Manpower Data Center - https://dwp.dmdc.osd.mil/dwp/app/main --&gt;
      &lt;summary&gt;• &lt;a href='https://dwp.dmdc.osd.mil/dwp/app/main' rel='noopener noreferrer'&gt;Defense Manpower Data Center - https://dwp.dmdc.osd.mil/dwp/app/main&lt;/a&gt;&lt;/summary&gt;
      &lt;p&gt;Defense Manpower Data Center is the leader in joint information sharing and support on DoD human resource issues, the central source for identifying, authenticating, authorizing, and providing information on personnel during and after their affiliation with DoD and the one, central access point for information and assistance on DoD entitlements, benefits, and medical readiness for uniformed service members, veterans, and their families.&lt;/p&gt;
    &lt;/details&gt;</v>
      </c>
      <c r="Z83" s="1" t="str">
        <f t="shared" si="4"/>
        <v xml:space="preserve">          &lt;!-- Defense Manpower Data Center - https://dwp.dmdc.osd.mil/dwp/app/main --&gt;&lt;div id='dragD06' class='catAll catHuman'&gt;&lt;div class='column hideMarquee' draggable='true' ondragstart='drag(event)' value='D06' id='D06'&gt;&lt;div class='armyCardContainer ssCard'&gt;&lt;div class='ssArmyCard'&gt;&lt;div&gt;&lt;p class='marquee'&gt;Defense Manpower Data Center is the leader in joint information sharing and support on DoD human resource issues, the central source for identifying, authenticating, authorizing, and providing information on personnel during and after their affiliation with DoD and the one, central access point for information and assistance on DoD entitlements, benefits, and medical readiness for uniformed service members, veterans, and their families.&lt;/p&gt;&lt;img src='assets/Card-034.png' class='ssCardImage' draggable='false' loading='lazy'&gt;&lt;/div&gt;&lt;div class='ssTitle'&gt;&lt;span id='D06Title'&gt;Defense Manpower Data Center&lt;/span&gt;&lt;/div&gt;&lt;/div&gt;&lt;/div&gt;&lt;/div&gt;&lt;/div&gt;&lt;script&gt;var jsD06 = document.getElementById('dragD06').innerHTML;&lt;/script&gt;</v>
      </c>
      <c r="AA83" s="1" t="str">
        <f>CONCATENATE("var js",Table1[[#This Row],[IDs]]," = document.getElementbyId('drag",Table1[[#This Row],[IDs]],"').innerHTML; //  ",Table1[[#This Row],[Site]])</f>
        <v>var jsD06 = document.getElementbyId('dragD06').innerHTML; //  Defense Manpower Data Center</v>
      </c>
    </row>
    <row r="84" spans="1:27" ht="15" x14ac:dyDescent="0.25">
      <c r="A84" s="1" t="s">
        <v>919</v>
      </c>
      <c r="B84" s="1" t="s">
        <v>919</v>
      </c>
      <c r="C84" s="9" t="s">
        <v>498</v>
      </c>
      <c r="D84" t="s">
        <v>623</v>
      </c>
      <c r="E84" s="1" t="s">
        <v>920</v>
      </c>
      <c r="F84" s="2" t="s">
        <v>1010</v>
      </c>
      <c r="G84" s="2" t="s">
        <v>900</v>
      </c>
      <c r="H84" s="2" t="s">
        <v>552</v>
      </c>
      <c r="I84" s="2"/>
      <c r="J84" s="2"/>
      <c r="K84" s="2"/>
      <c r="L84" s="2"/>
      <c r="M84" s="2"/>
      <c r="N84" s="2"/>
      <c r="O84" s="2"/>
      <c r="P84" s="2"/>
      <c r="Q84" s="2"/>
      <c r="R84" s="2" t="s">
        <v>18</v>
      </c>
      <c r="S84" s="2"/>
      <c r="T84" s="2"/>
      <c r="U84" s="2"/>
      <c r="V84" s="2"/>
      <c r="W84" s="3" t="str">
        <f>CONCATENATE("var js",Table1[[#This Row],[IDs]]," = document.getElementbyId('",Table1[[#This Row],[IDs]],"').innerHTML; //  ",Table1[[#This Row],[Site]])</f>
        <v>var jsD26 = document.getElementbyId('D26').innerHTML; //  Defense Technical Information Center</v>
      </c>
      <c r="X84" s="1" t="str">
        <f t="shared" si="5"/>
        <v xml:space="preserve">        &lt;!--Defense Technical Information Center - https://discover.dtic.mil/ --&gt;&lt;div class='column catAll catTech' style='margin-bottom: 0px;' id='D26'&gt;&lt;a href='https://discover.dtic.mil/' rel='noopener noreferrer' class='column hideMarquee'&gt;&lt;div class='armyCardContainer card'&gt;&lt;div class='armyCard'&gt;&lt;div&gt;&lt;p class='marquee'&gt;The Defense Technical Information Center operates under the leadership of the Secretary of Defense and reports to the Under Secretary of Defense for Research and Engineering USD(R&amp;E).  DTIC supports the USD(R&amp;E)’s efforts to mitigate new and emerging threat capabilities, enable affordable or extended capabilities in existing military systems, and develop technology surprise.&lt;/p&gt;&lt;img src='assets/CaCRequired.png' title='A CAC is required to use some or all features of this site!' Class='cacLocked'&gt;&lt;img src='assets/Card-001.png' class='cardImage' loading='lazy'&gt;&lt;/div&gt;&lt;div class='title'&gt;
          &lt;span&gt;Defense Technical Information Center&lt;/span&gt;&lt;/div&gt;&lt;/div&gt;&lt;/div&gt;&lt;/a&gt;&lt;/div&gt;&lt;script&gt;var jsD26 = document.getElementById('D26').innerHTML;&lt;/script&gt;</v>
      </c>
      <c r="Y8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Technical Information Center - https://discover.dtic.mil/ --&gt;
      &lt;summary&gt;• &lt;a href='https://discover.dtic.mil/' rel='noopener noreferrer'&gt;Defense Technical Information Center - https://discover.dtic.mil/&lt;/a&gt;&lt;/summary&gt;
      &lt;p&gt;The Defense Technical Information Center operates under the leadership of the Secretary of Defense and reports to the Under Secretary of Defense for Research and Engineering USD(R&amp;E).  DTIC supports the USD(R&amp;E)’s efforts to mitigate new and emerging threat capabilities, enable affordable or extended capabilities in existing military systems, and develop technology surprise.&lt;/p&gt;
    &lt;/details&gt;</v>
      </c>
      <c r="Z84" s="1" t="str">
        <f t="shared" si="4"/>
        <v xml:space="preserve">          &lt;!-- Defense Technical Information Center - https://discover.dtic.mil/ --&gt;&lt;div id='dragD26' class='catAll catTech'&gt;&lt;div class='column hideMarquee' draggable='true' ondragstart='drag(event)' value='D26' id='D26'&gt;&lt;div class='armyCardContainer ssCard'&gt;&lt;div class='ssArmyCard'&gt;&lt;div&gt;&lt;p class='marquee'&gt;The Defense Technical Information Center operates under the leadership of the Secretary of Defense and reports to the Under Secretary of Defense for Research and Engineering USD(R&amp;E).  DTIC supports the USD(R&amp;E)’s efforts to mitigate new and emerging threat capabilities, enable affordable or extended capabilities in existing military systems, and develop technology surprise.&lt;/p&gt;&lt;img src='assets/Card-001.png' class='ssCardImage' draggable='false' loading='lazy'&gt;&lt;/div&gt;&lt;div class='ssTitle'&gt;&lt;span id='D26Title'&gt;Defense Technical Information Center&lt;/span&gt;&lt;/div&gt;&lt;/div&gt;&lt;/div&gt;&lt;/div&gt;&lt;/div&gt;&lt;script&gt;var jsD26 = document.getElementById('dragD26').innerHTML;&lt;/script&gt;</v>
      </c>
      <c r="AA84" s="1" t="str">
        <f>CONCATENATE("var js",Table1[[#This Row],[IDs]]," = document.getElementbyId('drag",Table1[[#This Row],[IDs]],"').innerHTML; //  ",Table1[[#This Row],[Site]])</f>
        <v>var jsD26 = document.getElementbyId('dragD26').innerHTML; //  Defense Technical Information Center</v>
      </c>
    </row>
    <row r="85" spans="1:27" ht="15" x14ac:dyDescent="0.25">
      <c r="A85" s="1" t="s">
        <v>931</v>
      </c>
      <c r="B85" s="1" t="s">
        <v>931</v>
      </c>
      <c r="C85" s="10" t="s">
        <v>930</v>
      </c>
      <c r="D85" t="s">
        <v>756</v>
      </c>
      <c r="E85" t="s">
        <v>755</v>
      </c>
      <c r="F85" s="2" t="s">
        <v>230</v>
      </c>
      <c r="G85" s="2" t="s">
        <v>900</v>
      </c>
      <c r="H85" s="2" t="s">
        <v>900</v>
      </c>
      <c r="I85" s="2"/>
      <c r="J85" s="2"/>
      <c r="K85" s="2" t="s">
        <v>18</v>
      </c>
      <c r="L85" s="2"/>
      <c r="M85" s="2"/>
      <c r="N85" s="2"/>
      <c r="O85" s="2"/>
      <c r="P85" s="2"/>
      <c r="Q85" s="2"/>
      <c r="R85" s="2"/>
      <c r="S85" s="2"/>
      <c r="T85" s="2"/>
      <c r="U85" s="2"/>
      <c r="V85" s="2"/>
      <c r="W85" s="3" t="str">
        <f>CONCATENATE("var js",Table1[[#This Row],[IDs]]," = document.getElementbyId('",Table1[[#This Row],[IDs]],"').innerHTML; //  ",Table1[[#This Row],[Site]])</f>
        <v>var jsJ02 = document.getElementbyId('J02').innerHTML; //  Defense Threat Reduction Agency</v>
      </c>
      <c r="X85" s="1" t="str">
        <f t="shared" si="5"/>
        <v xml:space="preserve">        &lt;!--Defense Threat Reduction Agency - https://www.dtra.mil/ --&gt;&lt;div class='column catAll catDod' style='margin-bottom: 0px;' id='J02'&gt;&lt;a href='https://www.dtra.mil/' rel='noopener noreferrer' class='column hideMarquee'&gt;&lt;div class='armyCardContainer card'&gt;&lt;div class='armyCard'&gt;&lt;div&gt;&lt;p class='marquee'&gt;The Joint Improvised-Threat Defeat Organization (JIDO) is a combat support organization of the U.S. Department of Defense (DoD) organization under the Defense Threat Reduction Agency that deals with improvised threats such as the improvised explosive device (IEDs) and small unmanned aerial systems. JIDO was born from the Joint IED Defeat Organization established in 2006, which focused on IEDs. JIDO's mission is to 'enable Department of Defense actions to counter improvised threats with tactical responsiveness and anticipatory acquisition in support of combatant commanders' efforts to prepare for, and adapt to, battlefield surprise.' This mission supports counter-terrorism, counter-insurgency and other related mission areas including Counter-IED.&lt;/p&gt;&lt;img src='assets/Card-038.png' class='cardImage' loading='lazy'&gt;&lt;/div&gt;&lt;div class='title'&gt;
          &lt;span&gt;Defense Threat Reduction Agency&lt;/span&gt;&lt;/div&gt;&lt;/div&gt;&lt;/div&gt;&lt;/a&gt;&lt;/div&gt;&lt;script&gt;var jsJ02 = document.getElementById('J02').innerHTML;&lt;/script&gt;</v>
      </c>
      <c r="Y8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Threat Reduction Agency - https://www.dtra.mil/ --&gt;
      &lt;summary&gt;• &lt;a href='https://www.dtra.mil/' rel='noopener noreferrer'&gt;Defense Threat Reduction Agency - https://www.dtra.mil/&lt;/a&gt;&lt;/summary&gt;
      &lt;p&gt;The Joint Improvised-Threat Defeat Organization (JIDO) is a combat support organization of the U.S. Department of Defense (DoD) organization under the Defense Threat Reduction Agency that deals with improvised threats such as the improvised explosive device (IEDs) and small unmanned aerial systems. JIDO was born from the Joint IED Defeat Organization established in 2006, which focused on IEDs. JIDO's mission is to 'enable Department of Defense actions to counter improvised threats with tactical responsiveness and anticipatory acquisition in support of combatant commanders' efforts to prepare for, and adapt to, battlefield surprise.' This mission supports counter-terrorism, counter-insurgency and other related mission areas including Counter-IED.&lt;/p&gt;
    &lt;/details&gt;</v>
      </c>
      <c r="Z85" s="1" t="str">
        <f t="shared" si="4"/>
        <v xml:space="preserve">          &lt;!-- Defense Threat Reduction Agency - https://www.dtra.mil/ --&gt;&lt;div id='dragJ02' class='catAll catDod'&gt;&lt;div class='column hideMarquee' draggable='true' ondragstart='drag(event)' value='J02' id='J02'&gt;&lt;div class='armyCardContainer ssCard'&gt;&lt;div class='ssArmyCard'&gt;&lt;div&gt;&lt;p class='marquee'&gt;The Joint Improvised-Threat Defeat Organization (JIDO) is a combat support organization of the U.S. Department of Defense (DoD) organization under the Defense Threat Reduction Agency that deals with improvised threats such as the improvised explosive device (IEDs) and small unmanned aerial systems. JIDO was born from the Joint IED Defeat Organization established in 2006, which focused on IEDs. JIDO's mission is to 'enable Department of Defense actions to counter improvised threats with tactical responsiveness and anticipatory acquisition in support of combatant commanders' efforts to prepare for, and adapt to, battlefield surprise.' This mission supports counter-terrorism, counter-insurgency and other related mission areas including Counter-IED.&lt;/p&gt;&lt;img src='assets/Card-038.png' class='ssCardImage' draggable='false' loading='lazy'&gt;&lt;/div&gt;&lt;div class='ssTitle'&gt;&lt;span id='J02Title'&gt;Defense Threat Reduction Agency&lt;/span&gt;&lt;/div&gt;&lt;/div&gt;&lt;/div&gt;&lt;/div&gt;&lt;/div&gt;&lt;script&gt;var jsJ02 = document.getElementById('dragJ02').innerHTML;&lt;/script&gt;</v>
      </c>
      <c r="AA85" s="1" t="str">
        <f>CONCATENATE("var js",Table1[[#This Row],[IDs]]," = document.getElementbyId('drag",Table1[[#This Row],[IDs]],"').innerHTML; //  ",Table1[[#This Row],[Site]])</f>
        <v>var jsJ02 = document.getElementbyId('dragJ02').innerHTML; //  Defense Threat Reduction Agency</v>
      </c>
    </row>
    <row r="86" spans="1:27" ht="15" x14ac:dyDescent="0.25">
      <c r="A86" t="s">
        <v>139</v>
      </c>
      <c r="B86" t="s">
        <v>139</v>
      </c>
      <c r="C86" s="2" t="s">
        <v>140</v>
      </c>
      <c r="D86" t="s">
        <v>679</v>
      </c>
      <c r="E86" t="s">
        <v>678</v>
      </c>
      <c r="F86" s="2" t="s">
        <v>152</v>
      </c>
      <c r="G86" s="2" t="s">
        <v>900</v>
      </c>
      <c r="H86" s="2" t="s">
        <v>552</v>
      </c>
      <c r="I86" s="2"/>
      <c r="J86" s="2"/>
      <c r="K86" s="2" t="s">
        <v>18</v>
      </c>
      <c r="L86" s="2"/>
      <c r="M86" s="2"/>
      <c r="N86" s="2"/>
      <c r="O86" s="2"/>
      <c r="P86" s="2"/>
      <c r="Q86" s="2"/>
      <c r="R86" s="2"/>
      <c r="S86" s="2"/>
      <c r="T86" s="2"/>
      <c r="U86" s="2"/>
      <c r="V86" s="2"/>
      <c r="W86" s="3" t="str">
        <f>CONCATENATE("var js",Table1[[#This Row],[IDs]]," = document.getElementbyId('",Table1[[#This Row],[IDs]],"').innerHTML; //  ",Table1[[#This Row],[Site]])</f>
        <v>var jsD07 = document.getElementbyId('D07').innerHTML; //  Defense Travel Management System</v>
      </c>
      <c r="X86" s="1" t="str">
        <f t="shared" si="5"/>
        <v xml:space="preserve">        &lt;!--Defense Travel Management System - https://www.defensetravel.dod.mil/ --&gt;&lt;div class='column catAll catDod' style='margin-bottom: 0px;' id='D07'&gt;&lt;a href='https://www.defensetravel.dod.mil/' rel='noopener noreferrer' class='column hideMarquee'&gt;&lt;div class='armyCardContainer card'&gt;&lt;div class='armyCard'&gt;&lt;div&gt;&lt;p class='marquee'&gt;The Defense Travel System (DTS) is a fully integrated, automated, end-to-end travel management system that enables DoD travelers to create authorizations (TDY travel orders), prepare reservations, receive approvals, generate travel vouchers, and receive a split reimbursement between their bank accounts and the Government Travel Charge Card (GTCC) vendor.&lt;/p&gt;&lt;img src='assets/CaCRequired.png' title='A CAC is required to use some or all features of this site!' Class='cacLocked'&gt;&lt;img src='assets/Card-035.png' class='cardImage' loading='lazy'&gt;&lt;/div&gt;&lt;div class='title'&gt;
          &lt;span&gt;Defense Travel Management System&lt;/span&gt;&lt;/div&gt;&lt;/div&gt;&lt;/div&gt;&lt;/a&gt;&lt;/div&gt;&lt;script&gt;var jsD07 = document.getElementById('D07').innerHTML;&lt;/script&gt;</v>
      </c>
      <c r="Y8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Travel Management System - https://www.defensetravel.dod.mil/ --&gt;
      &lt;summary&gt;• &lt;a href='https://www.defensetravel.dod.mil/' rel='noopener noreferrer'&gt;Defense Travel Management System - https://www.defensetravel.dod.mil/&lt;/a&gt;&lt;/summary&gt;
      &lt;p&gt;The Defense Travel System (DTS) is a fully integrated, automated, end-to-end travel management system that enables DoD travelers to create authorizations (TDY travel orders), prepare reservations, receive approvals, generate travel vouchers, and receive a split reimbursement between their bank accounts and the Government Travel Charge Card (GTCC) vendor.&lt;/p&gt;
    &lt;/details&gt;</v>
      </c>
      <c r="Z86" s="1" t="str">
        <f t="shared" si="4"/>
        <v xml:space="preserve">          &lt;!-- Defense Travel Management System - https://www.defensetravel.dod.mil/ --&gt;&lt;div id='dragD07' class='catAll catDod'&gt;&lt;div class='column hideMarquee' draggable='true' ondragstart='drag(event)' value='D07' id='D07'&gt;&lt;div class='armyCardContainer ssCard'&gt;&lt;div class='ssArmyCard'&gt;&lt;div&gt;&lt;p class='marquee'&gt;The Defense Travel System (DTS) is a fully integrated, automated, end-to-end travel management system that enables DoD travelers to create authorizations (TDY travel orders), prepare reservations, receive approvals, generate travel vouchers, and receive a split reimbursement between their bank accounts and the Government Travel Charge Card (GTCC) vendor.&lt;/p&gt;&lt;img src='assets/Card-035.png' class='ssCardImage' draggable='false' loading='lazy'&gt;&lt;/div&gt;&lt;div class='ssTitle'&gt;&lt;span id='D07Title'&gt;Defense Travel Management System&lt;/span&gt;&lt;/div&gt;&lt;/div&gt;&lt;/div&gt;&lt;/div&gt;&lt;/div&gt;&lt;script&gt;var jsD07 = document.getElementById('dragD07').innerHTML;&lt;/script&gt;</v>
      </c>
      <c r="AA86" s="1" t="str">
        <f>CONCATENATE("var js",Table1[[#This Row],[IDs]]," = document.getElementbyId('drag",Table1[[#This Row],[IDs]],"').innerHTML; //  ",Table1[[#This Row],[Site]])</f>
        <v>var jsD07 = document.getElementbyId('dragD07').innerHTML; //  Defense Travel Management System</v>
      </c>
    </row>
    <row r="87" spans="1:27" ht="15" x14ac:dyDescent="0.25">
      <c r="A87" t="s">
        <v>1044</v>
      </c>
      <c r="B87" t="s">
        <v>142</v>
      </c>
      <c r="C87" s="2" t="s">
        <v>143</v>
      </c>
      <c r="D87" t="s">
        <v>680</v>
      </c>
      <c r="E87" t="s">
        <v>1043</v>
      </c>
      <c r="F87" s="2" t="s">
        <v>155</v>
      </c>
      <c r="G87" s="2" t="s">
        <v>900</v>
      </c>
      <c r="H87" s="2" t="s">
        <v>552</v>
      </c>
      <c r="I87" s="2"/>
      <c r="J87" s="2"/>
      <c r="K87" s="2" t="s">
        <v>18</v>
      </c>
      <c r="L87" s="2"/>
      <c r="M87" s="2"/>
      <c r="N87" s="2"/>
      <c r="O87" s="2"/>
      <c r="P87" s="2"/>
      <c r="Q87" s="2"/>
      <c r="R87" s="2"/>
      <c r="S87" s="2"/>
      <c r="T87" s="2"/>
      <c r="U87" s="2"/>
      <c r="V87" s="2"/>
      <c r="W87" s="3" t="str">
        <f>CONCATENATE("var js",Table1[[#This Row],[IDs]]," = document.getElementbyId('",Table1[[#This Row],[IDs]],"').innerHTML; //  ",Table1[[#This Row],[Site]])</f>
        <v>var jsD08 = document.getElementbyId('D08').innerHTML; //  Defense Travel System (DTS)</v>
      </c>
      <c r="X87" s="1" t="str">
        <f t="shared" si="5"/>
        <v xml:space="preserve">        &lt;!--Defense Travel System (DTS) - https://www.defensetravel.osd.mil/ --&gt;&lt;div class='column catAll catDod' style='margin-bottom: 0px;' id='D08'&gt;&lt;a href='https://www.defensetravel.osd.mil/' rel='noopener noreferrer' class='column hideMarquee'&gt;&lt;div class='armyCardContainer card'&gt;&lt;div class='armyCard'&gt;&lt;div&gt;&lt;p class='marquee'&gt;Defense Travel System (DTS) is an integrated, automated, end-to-end travel management system that enables DOD travelers to create travel orders, prepare reservations, receive approvals, generate travel vouchers, and receive split disbursement between their bank accounts and the Government Travel Charge Card vendor.&lt;/p&gt;&lt;img src='assets/CaCRequired.png' title='A CAC is required to use some or all features of this site!' Class='cacLocked'&gt;&lt;img src='assets/Card-044.png' class='cardImage' loading='lazy'&gt;&lt;/div&gt;&lt;div class='title'&gt;
          &lt;span&gt;Defense Travel System (DTS)&lt;/span&gt;&lt;/div&gt;&lt;/div&gt;&lt;/div&gt;&lt;/a&gt;&lt;/div&gt;&lt;script&gt;var jsD08 = document.getElementById('D08').innerHTML;&lt;/script&gt;</v>
      </c>
      <c r="Y8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Defense Travel System (DTS) - https://www.defensetravel.osd.mil/ --&gt;
      &lt;summary&gt;• &lt;a href='https://www.defensetravel.osd.mil/' rel='noopener noreferrer'&gt;Defense Travel System (DTS) - https://www.defensetravel.osd.mil/&lt;/a&gt;&lt;/summary&gt;
      &lt;p&gt;Defense Travel System (DTS) is an integrated, automated, end-to-end travel management system that enables DOD travelers to create travel orders, prepare reservations, receive approvals, generate travel vouchers, and receive split disbursement between their bank accounts and the Government Travel Charge Card vendor.&lt;/p&gt;
    &lt;/details&gt;</v>
      </c>
      <c r="Z87" s="1" t="str">
        <f t="shared" si="4"/>
        <v xml:space="preserve">          &lt;!-- Defense Travel System - https://www.defensetravel.osd.mil/ --&gt;&lt;div id='dragD08' class='catAll catDod'&gt;&lt;div class='column hideMarquee' draggable='true' ondragstart='drag(event)' value='D08' id='D08'&gt;&lt;div class='armyCardContainer ssCard'&gt;&lt;div class='ssArmyCard'&gt;&lt;div&gt;&lt;p class='marquee'&gt;Defense Travel System (DTS) is an integrated, automated, end-to-end travel management system that enables DOD travelers to create travel orders, prepare reservations, receive approvals, generate travel vouchers, and receive split disbursement between their bank accounts and the Government Travel Charge Card vendor.&lt;/p&gt;&lt;img src='assets/Card-044.png' class='ssCardImage' draggable='false' loading='lazy'&gt;&lt;/div&gt;&lt;div class='ssTitle'&gt;&lt;span id='D08Title'&gt;Defense Travel System (DTS)&lt;/span&gt;&lt;/div&gt;&lt;/div&gt;&lt;/div&gt;&lt;/div&gt;&lt;/div&gt;&lt;script&gt;var jsD08 = document.getElementById('dragD08').innerHTML;&lt;/script&gt;</v>
      </c>
      <c r="AA87" s="1" t="str">
        <f>CONCATENATE("var js",Table1[[#This Row],[IDs]]," = document.getElementbyId('drag",Table1[[#This Row],[IDs]],"').innerHTML; //  ",Table1[[#This Row],[Site]])</f>
        <v>var jsD08 = document.getElementbyId('dragD08').innerHTML; //  Defense Travel System (DTS)</v>
      </c>
    </row>
    <row r="88" spans="1:27" ht="15" x14ac:dyDescent="0.25">
      <c r="A88" s="1" t="s">
        <v>897</v>
      </c>
      <c r="B88" s="1" t="s">
        <v>897</v>
      </c>
      <c r="C88" s="10" t="s">
        <v>896</v>
      </c>
      <c r="D88" t="s">
        <v>966</v>
      </c>
      <c r="E88" t="s">
        <v>909</v>
      </c>
      <c r="F88" s="2" t="s">
        <v>1011</v>
      </c>
      <c r="G88" s="2" t="s">
        <v>900</v>
      </c>
      <c r="H88" s="2" t="s">
        <v>552</v>
      </c>
      <c r="I88" s="2"/>
      <c r="J88" s="2"/>
      <c r="K88" s="2"/>
      <c r="L88" s="2"/>
      <c r="M88" s="2"/>
      <c r="N88" s="2"/>
      <c r="O88" s="2"/>
      <c r="P88" s="2" t="s">
        <v>18</v>
      </c>
      <c r="Q88" s="2"/>
      <c r="R88" s="2"/>
      <c r="S88" s="2"/>
      <c r="T88" s="2"/>
      <c r="U88" s="2"/>
      <c r="V88" s="2"/>
      <c r="W88" s="3" t="str">
        <f>CONCATENATE("var js",Table1[[#This Row],[IDs]]," = document.getElementbyId('",Table1[[#This Row],[IDs]],"').innerHTML; //  ",Table1[[#This Row],[Site]])</f>
        <v>var jsD27 = document.getElementbyId('D27').innerHTML; //  Department of the Army Inspector General</v>
      </c>
      <c r="X88" s="1" t="str">
        <f t="shared" si="5"/>
        <v xml:space="preserve">        &lt;!--Department of the Army Inspector General - https://ig.army.mil/ --&gt;&lt;div class='column catAll catLegal' style='margin-bottom: 0px;' id='D27'&gt;&lt;a href='https://ig.army.mil/' rel='noopener noreferrer' class='column hideMarquee'&gt;&lt;div class='armyCardContainer card'&gt;&lt;div class='armyCard'&gt;&lt;div&gt;&lt;p class='marquee'&gt;The Office of the Inspector General serves to "provide impartial, objective and unbiased advice and oversight to the Army through relevant, timely and thorough inspection, assistance, investigations, and training." The position has existed since 1777, when Thomas Conway was appointed the first inspector.&lt;/p&gt;&lt;img src='assets/CaCRequired.png' title='A CAC is required to use some or all features of this site!' Class='cacLocked'&gt;&lt;img src='assets/Card-161.png' class='cardImage' loading='lazy'&gt;&lt;/div&gt;&lt;div class='title'&gt;
          &lt;span&gt;Department of the Army Inspector General&lt;/span&gt;&lt;/div&gt;&lt;/div&gt;&lt;/div&gt;&lt;/a&gt;&lt;/div&gt;&lt;script&gt;var jsD27 = document.getElementById('D27').innerHTML;&lt;/script&gt;</v>
      </c>
      <c r="Y8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Department of the Army Inspector General - https://ig.army.mil/ --&gt;
      &lt;summary&gt;• &lt;a href='https://ig.army.mil/' rel='noopener noreferrer'&gt;Department of the Army Inspector General - https://ig.army.mil/&lt;/a&gt;&lt;/summary&gt;
      &lt;p&gt;The Office of the Inspector General serves to "provide impartial, objective and unbiased advice and oversight to the Army through relevant, timely and thorough inspection, assistance, investigations, and training." The position has existed since 1777, when Thomas Conway was appointed the first inspector.&lt;/p&gt;
    &lt;/details&gt;</v>
      </c>
      <c r="Z88" s="1" t="str">
        <f t="shared" si="4"/>
        <v xml:space="preserve">          &lt;!-- Department of the Army Inspector General - https://ig.army.mil/ --&gt;&lt;div id='dragD27' class='catAll catLegal'&gt;&lt;div class='column hideMarquee' draggable='true' ondragstart='drag(event)' value='D27' id='D27'&gt;&lt;div class='armyCardContainer ssCard'&gt;&lt;div class='ssArmyCard'&gt;&lt;div&gt;&lt;p class='marquee'&gt;The Office of the Inspector General serves to "provide impartial, objective and unbiased advice and oversight to the Army through relevant, timely and thorough inspection, assistance, investigations, and training." The position has existed since 1777, when Thomas Conway was appointed the first inspector.&lt;/p&gt;&lt;img src='assets/Card-161.png' class='ssCardImage' draggable='false' loading='lazy'&gt;&lt;/div&gt;&lt;div class='ssTitle'&gt;&lt;span id='D27Title'&gt;Department of the Army Inspector General&lt;/span&gt;&lt;/div&gt;&lt;/div&gt;&lt;/div&gt;&lt;/div&gt;&lt;/div&gt;&lt;script&gt;var jsD27 = document.getElementById('dragD27').innerHTML;&lt;/script&gt;</v>
      </c>
      <c r="AA88" s="1" t="str">
        <f>CONCATENATE("var js",Table1[[#This Row],[IDs]]," = document.getElementbyId('drag",Table1[[#This Row],[IDs]],"').innerHTML; //  ",Table1[[#This Row],[Site]])</f>
        <v>var jsD27 = document.getElementbyId('dragD27').innerHTML; //  Department of the Army Inspector General</v>
      </c>
    </row>
    <row r="89" spans="1:27" ht="15" x14ac:dyDescent="0.25">
      <c r="A89" t="s">
        <v>145</v>
      </c>
      <c r="B89" t="s">
        <v>145</v>
      </c>
      <c r="C89" s="10" t="s">
        <v>146</v>
      </c>
      <c r="D89" t="s">
        <v>682</v>
      </c>
      <c r="E89" t="s">
        <v>681</v>
      </c>
      <c r="F89" s="2" t="s">
        <v>157</v>
      </c>
      <c r="G89" s="2" t="s">
        <v>900</v>
      </c>
      <c r="H89" s="2" t="s">
        <v>552</v>
      </c>
      <c r="I89" s="2" t="s">
        <v>18</v>
      </c>
      <c r="J89" s="2"/>
      <c r="K89" s="2"/>
      <c r="L89" s="2"/>
      <c r="M89" s="2"/>
      <c r="N89" s="2"/>
      <c r="O89" s="2"/>
      <c r="P89" s="2"/>
      <c r="Q89" s="2"/>
      <c r="R89" s="2"/>
      <c r="S89" s="2"/>
      <c r="T89" s="2"/>
      <c r="U89" s="2"/>
      <c r="V89" s="2"/>
      <c r="W89" s="3" t="str">
        <f>CONCATENATE("var js",Table1[[#This Row],[IDs]]," = document.getElementbyId('",Table1[[#This Row],[IDs]],"').innerHTML; //  ",Table1[[#This Row],[Site]])</f>
        <v>var jsD09 = document.getElementbyId('D09').innerHTML; //  Department of the Army Photo Management Information System (DAPMIS)</v>
      </c>
      <c r="X89" s="1" t="str">
        <f t="shared" si="5"/>
        <v xml:space="preserve">        &lt;!--Department of the Army Photo Management Information System (DAPMIS) - https://dapmis.hrc.army.mil/ImageAcceptProlog.action --&gt;&lt;div class='column catAll catArmySites' style='margin-bottom: 0px;' id='D09'&gt;&lt;a href='https://dapmis.hrc.army.mil/ImageAcceptProlog.action' rel='noopener noreferrer' class='column hideMarquee'&gt;&lt;div class='armyCardContainer card'&gt;&lt;div class='armyCard'&gt;&lt;div&gt;&lt;p class='marquee'&gt;The Department of the Army Photograph Management Information System (DAPMIS) is a web-enabled, e-business system that receives digitized official photographs from DOD worldwide photo studios.&lt;/p&gt;&lt;img src='assets/CaCRequired.png' title='A CAC is required to use some or all features of this site!' Class='cacLocked'&gt;&lt;img src='assets/Card-002.jpg' class='cardImage' loading='lazy'&gt;&lt;/div&gt;&lt;div class='title'&gt;
          &lt;span&gt;Department of the Army Photo Management Information System (DAPMIS)&lt;/span&gt;&lt;/div&gt;&lt;/div&gt;&lt;/div&gt;&lt;/a&gt;&lt;/div&gt;&lt;script&gt;var jsD09 = document.getElementById('D09').innerHTML;&lt;/script&gt;</v>
      </c>
      <c r="Y8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Department of the Army Photo Management Information System (DAPMIS) - https://dapmis.hrc.army.mil/ImageAcceptProlog.action --&gt;
      &lt;summary&gt;• &lt;a href='https://dapmis.hrc.army.mil/ImageAcceptProlog.action' rel='noopener noreferrer'&gt;Department of the Army Photo Management Information System (DAPMIS) - https://dapmis.hrc.army.mil/ImageAcceptProlog.action&lt;/a&gt;&lt;/summary&gt;
      &lt;p&gt;The Department of the Army Photograph Management Information System (DAPMIS) is a web-enabled, e-business system that receives digitized official photographs from DOD worldwide photo studios.&lt;/p&gt;
    &lt;/details&gt;</v>
      </c>
      <c r="Z89" s="1" t="str">
        <f t="shared" si="4"/>
        <v xml:space="preserve">          &lt;!-- Department of the Army Photo Management Information System (DAPMIS) - https://dapmis.hrc.army.mil/ImageAcceptProlog.action --&gt;&lt;div id='dragD09' class='catAll catArmySites'&gt;&lt;div class='column hideMarquee' draggable='true' ondragstart='drag(event)' value='D09' id='D09'&gt;&lt;div class='armyCardContainer ssCard'&gt;&lt;div class='ssArmyCard'&gt;&lt;div&gt;&lt;p class='marquee'&gt;The Department of the Army Photograph Management Information System (DAPMIS) is a web-enabled, e-business system that receives digitized official photographs from DOD worldwide photo studios.&lt;/p&gt;&lt;img src='assets/Card-002.jpg' class='ssCardImage' draggable='false' loading='lazy'&gt;&lt;/div&gt;&lt;div class='ssTitle'&gt;&lt;span id='D09Title'&gt;Department of the Army Photo Management Information System (DAPMIS)&lt;/span&gt;&lt;/div&gt;&lt;/div&gt;&lt;/div&gt;&lt;/div&gt;&lt;/div&gt;&lt;script&gt;var jsD09 = document.getElementById('dragD09').innerHTML;&lt;/script&gt;</v>
      </c>
      <c r="AA89" s="1" t="str">
        <f>CONCATENATE("var js",Table1[[#This Row],[IDs]]," = document.getElementbyId('drag",Table1[[#This Row],[IDs]],"').innerHTML; //  ",Table1[[#This Row],[Site]])</f>
        <v>var jsD09 = document.getElementbyId('dragD09').innerHTML; //  Department of the Army Photo Management Information System (DAPMIS)</v>
      </c>
    </row>
    <row r="90" spans="1:27" ht="15" x14ac:dyDescent="0.25">
      <c r="A90" s="1" t="s">
        <v>898</v>
      </c>
      <c r="B90" s="1" t="s">
        <v>898</v>
      </c>
      <c r="C90" s="10" t="s">
        <v>899</v>
      </c>
      <c r="D90" t="s">
        <v>965</v>
      </c>
      <c r="E90" t="s">
        <v>910</v>
      </c>
      <c r="F90" s="2" t="s">
        <v>1012</v>
      </c>
      <c r="G90" s="2" t="s">
        <v>900</v>
      </c>
      <c r="H90" s="2" t="s">
        <v>900</v>
      </c>
      <c r="I90" s="2"/>
      <c r="J90" s="2"/>
      <c r="K90" s="2"/>
      <c r="L90" s="2"/>
      <c r="M90" s="2"/>
      <c r="N90" s="2"/>
      <c r="O90" s="2"/>
      <c r="P90" s="2" t="s">
        <v>18</v>
      </c>
      <c r="Q90" s="2"/>
      <c r="R90" s="2"/>
      <c r="S90" s="2"/>
      <c r="T90" s="2"/>
      <c r="U90" s="2"/>
      <c r="V90" s="2"/>
      <c r="W90" s="3" t="str">
        <f>CONCATENATE("var js",Table1[[#This Row],[IDs]]," = document.getElementbyId('",Table1[[#This Row],[IDs]],"').innerHTML; //  ",Table1[[#This Row],[Site]])</f>
        <v>var jsD28 = document.getElementbyId('D28').innerHTML; //  Department of the Defencse Inspector General</v>
      </c>
      <c r="X90" s="1" t="str">
        <f t="shared" si="5"/>
        <v xml:space="preserve">        &lt;!--Department of the Defencse Inspector General - https://www.dodig.mil/ --&gt;&lt;div class='column catAll catLegal' style='margin-bottom: 0px;' id='D28'&gt;&lt;a href='https://www.dodig.mil/' rel='noopener noreferrer' class='column hideMarquee'&gt;&lt;div class='armyCardContainer card'&gt;&lt;div class='armyCard'&gt;&lt;div&gt;&lt;p class='marquee'&gt;DoD OIG combats fraud, waste and abuse in the Department of Defense by conducting audits, investigations and evaluations. In addition, the Inspector General ensures the Secretary of Defense and the Congress are fully informed of problems in the Department&lt;/p&gt;&lt;img src='assets/Card-164.png' class='cardImage' loading='lazy'&gt;&lt;/div&gt;&lt;div class='title'&gt;
          &lt;span&gt;Department of the Defencse Inspector General&lt;/span&gt;&lt;/div&gt;&lt;/div&gt;&lt;/div&gt;&lt;/a&gt;&lt;/div&gt;&lt;script&gt;var jsD28 = document.getElementById('D28').innerHTML;&lt;/script&gt;</v>
      </c>
      <c r="Y9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Department of the Defencse Inspector General - https://www.dodig.mil/ --&gt;
      &lt;summary&gt;• &lt;a href='https://www.dodig.mil/' rel='noopener noreferrer'&gt;Department of the Defencse Inspector General - https://www.dodig.mil/&lt;/a&gt;&lt;/summary&gt;
      &lt;p&gt;DoD OIG combats fraud, waste and abuse in the Department of Defense by conducting audits, investigations and evaluations. In addition, the Inspector General ensures the Secretary of Defense and the Congress are fully informed of problems in the Department&lt;/p&gt;
    &lt;/details&gt;</v>
      </c>
      <c r="Z90" s="1" t="str">
        <f t="shared" si="4"/>
        <v xml:space="preserve">          &lt;!-- Department of the Defencse Inspector General - https://www.dodig.mil/ --&gt;&lt;div id='dragD28' class='catAll catLegal'&gt;&lt;div class='column hideMarquee' draggable='true' ondragstart='drag(event)' value='D28' id='D28'&gt;&lt;div class='armyCardContainer ssCard'&gt;&lt;div class='ssArmyCard'&gt;&lt;div&gt;&lt;p class='marquee'&gt;DoD OIG combats fraud, waste and abuse in the Department of Defense by conducting audits, investigations and evaluations. In addition, the Inspector General ensures the Secretary of Defense and the Congress are fully informed of problems in the Department&lt;/p&gt;&lt;img src='assets/Card-164.png' class='ssCardImage' draggable='false' loading='lazy'&gt;&lt;/div&gt;&lt;div class='ssTitle'&gt;&lt;span id='D28Title'&gt;Department of the Defencse Inspector General&lt;/span&gt;&lt;/div&gt;&lt;/div&gt;&lt;/div&gt;&lt;/div&gt;&lt;/div&gt;&lt;script&gt;var jsD28 = document.getElementById('dragD28').innerHTML;&lt;/script&gt;</v>
      </c>
      <c r="AA90" s="1" t="str">
        <f>CONCATENATE("var js",Table1[[#This Row],[IDs]]," = document.getElementbyId('drag",Table1[[#This Row],[IDs]],"').innerHTML; //  ",Table1[[#This Row],[Site]])</f>
        <v>var jsD28 = document.getElementbyId('dragD28').innerHTML; //  Department of the Defencse Inspector General</v>
      </c>
    </row>
    <row r="91" spans="1:27" ht="15" x14ac:dyDescent="0.25">
      <c r="A91" t="s">
        <v>148</v>
      </c>
      <c r="B91" t="s">
        <v>148</v>
      </c>
      <c r="C91" s="10" t="s">
        <v>149</v>
      </c>
      <c r="D91" t="s">
        <v>683</v>
      </c>
      <c r="E91" s="1" t="s">
        <v>996</v>
      </c>
      <c r="F91" s="2" t="s">
        <v>159</v>
      </c>
      <c r="G91" s="2" t="s">
        <v>900</v>
      </c>
      <c r="H91" s="2" t="s">
        <v>900</v>
      </c>
      <c r="I91" s="2"/>
      <c r="J91" s="2"/>
      <c r="K91" s="2"/>
      <c r="L91" s="2"/>
      <c r="M91" s="2"/>
      <c r="N91" s="2"/>
      <c r="O91" s="2"/>
      <c r="P91" s="2"/>
      <c r="Q91" s="2"/>
      <c r="R91" s="2"/>
      <c r="S91" s="2" t="s">
        <v>18</v>
      </c>
      <c r="T91" s="2"/>
      <c r="U91" s="2"/>
      <c r="V91" s="2"/>
      <c r="W91" s="3" t="str">
        <f>CONCATENATE("var js",Table1[[#This Row],[IDs]]," = document.getElementbyId('",Table1[[#This Row],[IDs]],"').innerHTML; //  ",Table1[[#This Row],[Site]])</f>
        <v>var jsD10 = document.getElementbyId('D10').innerHTML; //  Deployed Digital Training Campus (DDTC)</v>
      </c>
      <c r="X91" s="1" t="str">
        <f t="shared" si="5"/>
        <v xml:space="preserve">        &lt;!--Deployed Digital Training Campus (DDTC) - https://www.atis.army.mil/DDTC.html --&gt;&lt;div class='column catAll catMilEd' style='margin-bottom: 0px;' id='D10'&gt;&lt;a href='https://www.atis.army.mil/DDTC.html' rel='noopener noreferrer' class='column hideMarquee'&gt;&lt;div class='armyCardContainer card'&gt;&lt;div class='armyCard'&gt;&lt;div&gt;&lt;p class='marquee'&gt;The Deployed Digital Training Campus is a deployable networked classroom enabling group or individual instruction through Video Tele-training (VTT), interactive multi-media (IMI), web-based instruction, individual collaboration, and professional development training.&lt;br&gt;This is includes access to current Distributed Learning (DL) products and constructive simulations.&lt;br&gt;The DDTC provides a means for the current institutional training base to deliver proponent approved dL training products and services to deployed forces worldwide and to provide a flexible means to meet surge training requirements to deploying or redeploying forces.&lt;/p&gt;&lt;img src='assets/Card-072.png' class='cardImage' loading='lazy'&gt;&lt;/div&gt;&lt;div class='title'&gt;
          &lt;span&gt;Deployed Digital Training Campus (DDTC)&lt;/span&gt;&lt;/div&gt;&lt;/div&gt;&lt;/div&gt;&lt;/a&gt;&lt;/div&gt;&lt;script&gt;var jsD10 = document.getElementById('D10').innerHTML;&lt;/script&gt;</v>
      </c>
      <c r="Y9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Deployed Digital Training Campus (DDTC) - https://www.atis.army.mil/DDTC.html --&gt;
      &lt;summary&gt;• &lt;a href='https://www.atis.army.mil/DDTC.html' rel='noopener noreferrer'&gt;Deployed Digital Training Campus (DDTC) - https://www.atis.army.mil/DDTC.html&lt;/a&gt;&lt;/summary&gt;
      &lt;p&gt;The Deployed Digital Training Campus is a deployable networked classroom enabling group or individual instruction through Video Tele-training (VTT), interactive multi-media (IMI), web-based instruction, individual collaboration, and professional development training.&lt;br&gt;This is includes access to current Distributed Learning (DL) products and constructive simulations.&lt;br&gt;The DDTC provides a means for the current institutional training base to deliver proponent approved dL training products and services to deployed forces worldwide and to provide a flexible means to meet surge training requirements to deploying or redeploying forces.&lt;/p&gt;
    &lt;/details&gt;</v>
      </c>
      <c r="Z91" s="1" t="str">
        <f t="shared" si="4"/>
        <v xml:space="preserve">          &lt;!-- Deployed Digital Training Campus (DDTC) - https://www.atis.army.mil/DDTC.html --&gt;&lt;div id='dragD10' class='catAll catMilEd'&gt;&lt;div class='column hideMarquee' draggable='true' ondragstart='drag(event)' value='D10' id='D10'&gt;&lt;div class='armyCardContainer ssCard'&gt;&lt;div class='ssArmyCard'&gt;&lt;div&gt;&lt;p class='marquee'&gt;The Deployed Digital Training Campus is a deployable networked classroom enabling group or individual instruction through Video Tele-training (VTT), interactive multi-media (IMI), web-based instruction, individual collaboration, and professional development training.&lt;br&gt;This is includes access to current Distributed Learning (DL) products and constructive simulations.&lt;br&gt;The DDTC provides a means for the current institutional training base to deliver proponent approved dL training products and services to deployed forces worldwide and to provide a flexible means to meet surge training requirements to deploying or redeploying forces.&lt;/p&gt;&lt;img src='assets/Card-072.png' class='ssCardImage' draggable='false' loading='lazy'&gt;&lt;/div&gt;&lt;div class='ssTitle'&gt;&lt;span id='D10Title'&gt;Deployed Digital Training Campus (DDTC)&lt;/span&gt;&lt;/div&gt;&lt;/div&gt;&lt;/div&gt;&lt;/div&gt;&lt;/div&gt;&lt;script&gt;var jsD10 = document.getElementById('dragD10').innerHTML;&lt;/script&gt;</v>
      </c>
      <c r="AA91" s="1" t="str">
        <f>CONCATENATE("var js",Table1[[#This Row],[IDs]]," = document.getElementbyId('drag",Table1[[#This Row],[IDs]],"').innerHTML; //  ",Table1[[#This Row],[Site]])</f>
        <v>var jsD10 = document.getElementbyId('dragD10').innerHTML; //  Deployed Digital Training Campus (DDTC)</v>
      </c>
    </row>
    <row r="92" spans="1:27" ht="15" x14ac:dyDescent="0.25">
      <c r="A92" t="s">
        <v>151</v>
      </c>
      <c r="B92" t="s">
        <v>151</v>
      </c>
      <c r="C92" s="9" t="s">
        <v>489</v>
      </c>
      <c r="D92" t="s">
        <v>685</v>
      </c>
      <c r="E92" t="s">
        <v>684</v>
      </c>
      <c r="F92" s="2" t="s">
        <v>162</v>
      </c>
      <c r="G92" s="2" t="s">
        <v>900</v>
      </c>
      <c r="H92" s="2" t="s">
        <v>900</v>
      </c>
      <c r="I92" s="2" t="s">
        <v>18</v>
      </c>
      <c r="J92" s="2" t="s">
        <v>18</v>
      </c>
      <c r="K92" s="2"/>
      <c r="L92" s="2"/>
      <c r="M92" s="2"/>
      <c r="N92" s="2" t="s">
        <v>18</v>
      </c>
      <c r="O92" s="2"/>
      <c r="P92" s="2"/>
      <c r="Q92" s="2"/>
      <c r="R92" s="2"/>
      <c r="S92" s="2"/>
      <c r="T92" s="2"/>
      <c r="U92" s="2"/>
      <c r="V92" s="2"/>
      <c r="W92" s="3" t="str">
        <f>CONCATENATE("var js",Table1[[#This Row],[IDs]]," = document.getElementbyId('",Table1[[#This Row],[IDs]],"').innerHTML; //  ",Table1[[#This Row],[Site]])</f>
        <v>var jsD11 = document.getElementbyId('D11').innerHTML; //  Deployment Health Assessment Program (DHAP)</v>
      </c>
      <c r="X92" s="1" t="str">
        <f t="shared" si="5"/>
        <v xml:space="preserve">        &lt;!--Deployment Health Assessment Program (DHAP) - https://www.usar.army.mil/DHAP/ --&gt;&lt;div class='column catAll catArmySites catCombatReadiness catHealth' style='margin-bottom: 0px;' id='D11'&gt;&lt;a href='https://www.usar.army.mil/DHAP/' rel='noopener noreferrer' class='column hideMarquee'&gt;&lt;div class='armyCardContainer card'&gt;&lt;div class='armyCard'&gt;&lt;div&gt;&lt;p class='marquee'&gt;The Deployment Health Assessment Program (DHAP) allows you to take proactive steps to protect your health and well-being and to ensure your military readiness. DHAP provides early identification of emerging deployment related health conditions and serves as a gateway to care and treatment.&lt;/p&gt;&lt;img src='assets/Card-036.png' class='cardImage' loading='lazy'&gt;&lt;/div&gt;&lt;div class='title'&gt;
          &lt;span&gt;Deployment Health Assessment Program (DHAP)&lt;/span&gt;&lt;/div&gt;&lt;/div&gt;&lt;/div&gt;&lt;/a&gt;&lt;/div&gt;&lt;script&gt;var jsD11 = document.getElementById('D11').innerHTML;&lt;/script&gt;</v>
      </c>
      <c r="Y9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Deployment Health Assessment Program (DHAP) - https://www.usar.army.mil/DHAP/ --&gt;
      &lt;summary&gt;• &lt;a href='https://www.usar.army.mil/DHAP/' rel='noopener noreferrer'&gt;Deployment Health Assessment Program (DHAP) - https://www.usar.army.mil/DHAP/&lt;/a&gt;&lt;/summary&gt;
      &lt;p&gt;The Deployment Health Assessment Program (DHAP) allows you to take proactive steps to protect your health and well-being and to ensure your military readiness. DHAP provides early identification of emerging deployment related health conditions and serves as a gateway to care and treatment.&lt;/p&gt;
    &lt;/details&gt;</v>
      </c>
      <c r="Z92" s="1" t="str">
        <f t="shared" si="4"/>
        <v xml:space="preserve">          &lt;!-- Deployment Health Assessment Program (DHAP) - https://www.usar.army.mil/DHAP/ --&gt;&lt;div id='dragD11' class='catAll catArmySites catCombatReadiness catHealth'&gt;&lt;div class='column hideMarquee' draggable='true' ondragstart='drag(event)' value='D11' id='D11'&gt;&lt;div class='armyCardContainer ssCard'&gt;&lt;div class='ssArmyCard'&gt;&lt;div&gt;&lt;p class='marquee'&gt;The Deployment Health Assessment Program (DHAP) allows you to take proactive steps to protect your health and well-being and to ensure your military readiness. DHAP provides early identification of emerging deployment related health conditions and serves as a gateway to care and treatment.&lt;/p&gt;&lt;img src='assets/Card-036.png' class='ssCardImage' draggable='false' loading='lazy'&gt;&lt;/div&gt;&lt;div class='ssTitle'&gt;&lt;span id='D11Title'&gt;Deployment Health Assessment Program (DHAP)&lt;/span&gt;&lt;/div&gt;&lt;/div&gt;&lt;/div&gt;&lt;/div&gt;&lt;/div&gt;&lt;script&gt;var jsD11 = document.getElementById('dragD11').innerHTML;&lt;/script&gt;</v>
      </c>
      <c r="AA92" s="1" t="str">
        <f>CONCATENATE("var js",Table1[[#This Row],[IDs]]," = document.getElementbyId('drag",Table1[[#This Row],[IDs]],"').innerHTML; //  ",Table1[[#This Row],[Site]])</f>
        <v>var jsD11 = document.getElementbyId('dragD11').innerHTML; //  Deployment Health Assessment Program (DHAP)</v>
      </c>
    </row>
    <row r="93" spans="1:27" ht="15" x14ac:dyDescent="0.25">
      <c r="A93" t="s">
        <v>153</v>
      </c>
      <c r="B93" t="s">
        <v>153</v>
      </c>
      <c r="C93" s="10" t="s">
        <v>154</v>
      </c>
      <c r="D93" t="s">
        <v>687</v>
      </c>
      <c r="E93" t="s">
        <v>686</v>
      </c>
      <c r="F93" s="2" t="s">
        <v>165</v>
      </c>
      <c r="G93" s="2" t="s">
        <v>900</v>
      </c>
      <c r="H93" s="2" t="s">
        <v>900</v>
      </c>
      <c r="I93" s="2"/>
      <c r="J93" s="2"/>
      <c r="K93" s="2"/>
      <c r="L93" s="2"/>
      <c r="M93" s="2"/>
      <c r="N93" s="2"/>
      <c r="O93" s="2"/>
      <c r="P93" s="2"/>
      <c r="Q93" s="2"/>
      <c r="R93" s="2"/>
      <c r="S93" s="2" t="s">
        <v>18</v>
      </c>
      <c r="T93" s="2"/>
      <c r="U93" s="2"/>
      <c r="V93" s="2"/>
      <c r="W93" s="3" t="str">
        <f>CONCATENATE("var js",Table1[[#This Row],[IDs]]," = document.getElementbyId('",Table1[[#This Row],[IDs]],"').innerHTML; //  ",Table1[[#This Row],[Site]])</f>
        <v>var jsD12 = document.getElementbyId('D12').innerHTML; //  Digital Training Facility (DTF)</v>
      </c>
      <c r="X93" s="1" t="str">
        <f t="shared" si="5"/>
        <v xml:space="preserve">        &lt;!--Digital Training Facility (DTF) - https://www.atis.army.mil/DTF.html --&gt;&lt;div class='column catAll catMilEd' style='margin-bottom: 0px;' id='D12'&gt;&lt;a href='https://www.atis.army.mil/DTF.html' rel='noopener noreferrer' class='column hideMarquee'&gt;&lt;div class='armyCardContainer card'&gt;&lt;div class='armyCard'&gt;&lt;div&gt;&lt;p class='marquee'&gt;A Digital Training Facility is a computer lab located on Army installations and Reserve sites worldwide. Units use DTFs to conduct training that improves individual and unit readiness. Using high-speed internet access, computer based training and Video Tele-Training (VTT) equipment, Soldiers and civilians can train when it fits their professional needs and personal schedules.&lt;/p&gt;&lt;img src='assets/Card-039.png' class='cardImage' loading='lazy'&gt;&lt;/div&gt;&lt;div class='title'&gt;
          &lt;span&gt;Digital Training Facility (DTF)&lt;/span&gt;&lt;/div&gt;&lt;/div&gt;&lt;/div&gt;&lt;/a&gt;&lt;/div&gt;&lt;script&gt;var jsD12 = document.getElementById('D12').innerHTML;&lt;/script&gt;</v>
      </c>
      <c r="Y9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Digital Training Facility (DTF) - https://www.atis.army.mil/DTF.html --&gt;
      &lt;summary&gt;• &lt;a href='https://www.atis.army.mil/DTF.html' rel='noopener noreferrer'&gt;Digital Training Facility (DTF) - https://www.atis.army.mil/DTF.html&lt;/a&gt;&lt;/summary&gt;
      &lt;p&gt;A Digital Training Facility is a computer lab located on Army installations and Reserve sites worldwide. Units use DTFs to conduct training that improves individual and unit readiness. Using high-speed internet access, computer based training and Video Tele-Training (VTT) equipment, Soldiers and civilians can train when it fits their professional needs and personal schedules.&lt;/p&gt;
    &lt;/details&gt;</v>
      </c>
      <c r="Z93" s="1" t="str">
        <f t="shared" si="4"/>
        <v xml:space="preserve">          &lt;!-- Digital Training Facility (DTF) - https://www.atis.army.mil/DTF.html --&gt;&lt;div id='dragD12' class='catAll catMilEd'&gt;&lt;div class='column hideMarquee' draggable='true' ondragstart='drag(event)' value='D12' id='D12'&gt;&lt;div class='armyCardContainer ssCard'&gt;&lt;div class='ssArmyCard'&gt;&lt;div&gt;&lt;p class='marquee'&gt;A Digital Training Facility is a computer lab located on Army installations and Reserve sites worldwide. Units use DTFs to conduct training that improves individual and unit readiness. Using high-speed internet access, computer based training and Video Tele-Training (VTT) equipment, Soldiers and civilians can train when it fits their professional needs and personal schedules.&lt;/p&gt;&lt;img src='assets/Card-039.png' class='ssCardImage' draggable='false' loading='lazy'&gt;&lt;/div&gt;&lt;div class='ssTitle'&gt;&lt;span id='D12Title'&gt;Digital Training Facility (DTF)&lt;/span&gt;&lt;/div&gt;&lt;/div&gt;&lt;/div&gt;&lt;/div&gt;&lt;/div&gt;&lt;script&gt;var jsD12 = document.getElementById('dragD12').innerHTML;&lt;/script&gt;</v>
      </c>
      <c r="AA93" s="1" t="str">
        <f>CONCATENATE("var js",Table1[[#This Row],[IDs]]," = document.getElementbyId('drag",Table1[[#This Row],[IDs]],"').innerHTML; //  ",Table1[[#This Row],[Site]])</f>
        <v>var jsD12 = document.getElementbyId('dragD12').innerHTML; //  Digital Training Facility (DTF)</v>
      </c>
    </row>
    <row r="94" spans="1:27" ht="15" x14ac:dyDescent="0.25">
      <c r="A94" s="1" t="s">
        <v>1025</v>
      </c>
      <c r="B94" t="s">
        <v>956</v>
      </c>
      <c r="C94" s="10" t="s">
        <v>156</v>
      </c>
      <c r="D94" t="s">
        <v>689</v>
      </c>
      <c r="E94" t="s">
        <v>688</v>
      </c>
      <c r="F94" s="2" t="s">
        <v>411</v>
      </c>
      <c r="G94" s="2" t="s">
        <v>900</v>
      </c>
      <c r="H94" s="2" t="s">
        <v>552</v>
      </c>
      <c r="I94" s="2" t="s">
        <v>18</v>
      </c>
      <c r="J94" s="2"/>
      <c r="K94" s="2"/>
      <c r="L94" s="2"/>
      <c r="M94" s="2"/>
      <c r="N94" s="2"/>
      <c r="O94" s="2"/>
      <c r="P94" s="2"/>
      <c r="Q94" s="2"/>
      <c r="R94" s="2"/>
      <c r="S94" s="2"/>
      <c r="T94" s="2"/>
      <c r="U94" s="2"/>
      <c r="V94" s="2"/>
      <c r="W94" s="3" t="str">
        <f>CONCATENATE("var js",Table1[[#This Row],[IDs]]," = document.getElementbyId('",Table1[[#This Row],[IDs]],"').innerHTML; //  ",Table1[[#This Row],[Site]])</f>
        <v>var jsD13 = document.getElementbyId('D13').innerHTML; //  Digital Training Management System (DTMS)</v>
      </c>
      <c r="X94" s="1" t="str">
        <f t="shared" si="5"/>
        <v xml:space="preserve">        &lt;!--Digital Training Management System (DTMS) - https://dtms.army.mil/ --&gt;&lt;div class='column catAll catArmySites' style='margin-bottom: 0px;' id='D13'&gt;&lt;a href='https://dtms.army.mil/' rel='noopener noreferrer' class='column hideMarquee'&gt;&lt;div class='armyCardContainer card'&gt;&lt;div class='armyCard'&gt;&lt;div&gt;&lt;p class='marquee'&gt;Digital Training Management System (DTMS) provides streamlined access to the Individual Tasks, Collective Task Training and Evaluation Outlines (T&amp;EO), Headquarters, Department of the Army (HQDA) Standard Mission Essential Task List (METL) and Combined Arms Training Strategy (CATS) that form the building blocks for unit training and achieving readiness.&lt;/p&gt;&lt;img src='assets/CaCRequired.png' title='A CAC is required to use some or all features of this site!' Class='cacLocked'&gt;&lt;img src='assets/Card-080.png' class='cardImage' loading='lazy'&gt;&lt;/div&gt;&lt;div class='title'&gt;
          &lt;span&gt;Digital Training Management System (DTMS)&lt;/span&gt;&lt;/div&gt;&lt;/div&gt;&lt;/div&gt;&lt;/a&gt;&lt;/div&gt;&lt;script&gt;var jsD13 = document.getElementById('D13').innerHTML;&lt;/script&gt;</v>
      </c>
      <c r="Y9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Digital Training Management System (DTMS) - https://dtms.army.mil/ --&gt;
      &lt;summary&gt;• &lt;a href='https://dtms.army.mil/' rel='noopener noreferrer'&gt;Digital Training Management System (DTMS) - https://dtms.army.mil/&lt;/a&gt;&lt;/summary&gt;
      &lt;p&gt;Digital Training Management System (DTMS) provides streamlined access to the Individual Tasks, Collective Task Training and Evaluation Outlines (T&amp;EO), Headquarters, Department of the Army (HQDA) Standard Mission Essential Task List (METL) and Combined Arms Training Strategy (CATS) that form the building blocks for unit training and achieving readiness.&lt;/p&gt;
    &lt;/details&gt;</v>
      </c>
      <c r="Z94" s="1" t="str">
        <f t="shared" si="4"/>
        <v xml:space="preserve">          &lt;!-- Digital Training Management System&lt;br&gt;(DTMS) - https://dtms.army.mil/ --&gt;&lt;div id='dragD13' class='catAll catArmySites'&gt;&lt;div class='column hideMarquee' draggable='true' ondragstart='drag(event)' value='D13' id='D13'&gt;&lt;div class='armyCardContainer ssCard'&gt;&lt;div class='ssArmyCard'&gt;&lt;div&gt;&lt;p class='marquee'&gt;Digital Training Management System (DTMS) provides streamlined access to the Individual Tasks, Collective Task Training and Evaluation Outlines (T&amp;EO), Headquarters, Department of the Army (HQDA) Standard Mission Essential Task List (METL) and Combined Arms Training Strategy (CATS) that form the building blocks for unit training and achieving readiness.&lt;/p&gt;&lt;img src='assets/Card-080.png' class='ssCardImage' draggable='false' loading='lazy'&gt;&lt;/div&gt;&lt;div class='ssTitle'&gt;&lt;span id='D13Title'&gt;Digital Training Management System (DTMS)&lt;/span&gt;&lt;/div&gt;&lt;/div&gt;&lt;/div&gt;&lt;/div&gt;&lt;/div&gt;&lt;script&gt;var jsD13 = document.getElementById('dragD13').innerHTML;&lt;/script&gt;</v>
      </c>
      <c r="AA94" s="1" t="str">
        <f>CONCATENATE("var js",Table1[[#This Row],[IDs]]," = document.getElementbyId('drag",Table1[[#This Row],[IDs]],"').innerHTML; //  ",Table1[[#This Row],[Site]])</f>
        <v>var jsD13 = document.getElementbyId('dragD13').innerHTML; //  Digital Training Management System (DTMS)</v>
      </c>
    </row>
    <row r="95" spans="1:27" ht="15" x14ac:dyDescent="0.25">
      <c r="A95" t="s">
        <v>386</v>
      </c>
      <c r="B95" t="s">
        <v>386</v>
      </c>
      <c r="C95" s="5" t="s">
        <v>387</v>
      </c>
      <c r="D95" t="s">
        <v>691</v>
      </c>
      <c r="E95" t="s">
        <v>690</v>
      </c>
      <c r="F95" s="2" t="s">
        <v>412</v>
      </c>
      <c r="G95" s="2" t="s">
        <v>900</v>
      </c>
      <c r="H95" s="2" t="s">
        <v>900</v>
      </c>
      <c r="I95" s="2"/>
      <c r="J95" s="2"/>
      <c r="K95" s="2"/>
      <c r="L95" s="2"/>
      <c r="M95" s="2"/>
      <c r="N95" s="2"/>
      <c r="O95" s="2"/>
      <c r="P95" s="2"/>
      <c r="Q95" s="2"/>
      <c r="R95" s="2" t="s">
        <v>18</v>
      </c>
      <c r="S95" s="2"/>
      <c r="T95" s="2"/>
      <c r="U95" s="2"/>
      <c r="V95" s="2"/>
      <c r="W95" s="3" t="str">
        <f>CONCATENATE("var js",Table1[[#This Row],[IDs]]," = document.getElementbyId('",Table1[[#This Row],[IDs]],"').innerHTML; //  ",Table1[[#This Row],[Site]])</f>
        <v>var jsD14 = document.getElementbyId('D14').innerHTML; //  DoD Automated Time Attendance and Production System</v>
      </c>
      <c r="X95" s="1" t="str">
        <f t="shared" si="5"/>
        <v xml:space="preserve">        &lt;!--DoD Automated Time Attendance and Production System - https://ataaps.csd.disa.mil/ --&gt;&lt;div class='column catAll catTech' style='margin-bottom: 0px;' id='D14'&gt;&lt;a href='https://ataaps.csd.disa.mil/' rel='noopener noreferrer' class='column hideMarquee'&gt;&lt;div class='armyCardContainer card'&gt;&lt;div class='armyCard'&gt;&lt;div&gt;&lt;p class='marquee'&gt;The Automated Time Attendance and Production System (ATAAPS) is used by civilian employees to accurately record time and attendance (e.g. leave, overtime, compensatory time off, wellness), while capturing labor hours by job order.&lt;/p&gt;&lt;img src='assets/Card-126.png' class='cardImage' loading='lazy'&gt;&lt;/div&gt;&lt;div class='title'&gt;
          &lt;span&gt;DoD Automated Time Attendance and Production System&lt;/span&gt;&lt;/div&gt;&lt;/div&gt;&lt;/div&gt;&lt;/a&gt;&lt;/div&gt;&lt;script&gt;var jsD14 = document.getElementById('D14').innerHTML;&lt;/script&gt;</v>
      </c>
      <c r="Y9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Automated Time Attendance and Production System - https://ataaps.csd.disa.mil/ --&gt;
      &lt;summary&gt;• &lt;a href='https://ataaps.csd.disa.mil/' rel='noopener noreferrer'&gt;DoD Automated Time Attendance and Production System - https://ataaps.csd.disa.mil/&lt;/a&gt;&lt;/summary&gt;
      &lt;p&gt;The Automated Time Attendance and Production System (ATAAPS) is used by civilian employees to accurately record time and attendance (e.g. leave, overtime, compensatory time off, wellness), while capturing labor hours by job order.&lt;/p&gt;
    &lt;/details&gt;</v>
      </c>
      <c r="Z95" s="1" t="str">
        <f t="shared" si="4"/>
        <v xml:space="preserve">          &lt;!-- DoD Automated Time Attendance and Production System - https://ataaps.csd.disa.mil/ --&gt;&lt;div id='dragD14' class='catAll catTech'&gt;&lt;div class='column hideMarquee' draggable='true' ondragstart='drag(event)' value='D14' id='D14'&gt;&lt;div class='armyCardContainer ssCard'&gt;&lt;div class='ssArmyCard'&gt;&lt;div&gt;&lt;p class='marquee'&gt;The Automated Time Attendance and Production System (ATAAPS) is used by civilian employees to accurately record time and attendance (e.g. leave, overtime, compensatory time off, wellness), while capturing labor hours by job order.&lt;/p&gt;&lt;img src='assets/Card-126.png' class='ssCardImage' draggable='false' loading='lazy'&gt;&lt;/div&gt;&lt;div class='ssTitle'&gt;&lt;span id='D14Title'&gt;DoD Automated Time Attendance and Production System&lt;/span&gt;&lt;/div&gt;&lt;/div&gt;&lt;/div&gt;&lt;/div&gt;&lt;/div&gt;&lt;script&gt;var jsD14 = document.getElementById('dragD14').innerHTML;&lt;/script&gt;</v>
      </c>
      <c r="AA95" s="1" t="str">
        <f>CONCATENATE("var js",Table1[[#This Row],[IDs]]," = document.getElementbyId('drag",Table1[[#This Row],[IDs]],"').innerHTML; //  ",Table1[[#This Row],[Site]])</f>
        <v>var jsD14 = document.getElementbyId('dragD14').innerHTML; //  DoD Automated Time Attendance and Production System</v>
      </c>
    </row>
    <row r="96" spans="1:27" ht="15" x14ac:dyDescent="0.25">
      <c r="A96" s="1" t="s">
        <v>928</v>
      </c>
      <c r="B96" s="1" t="s">
        <v>928</v>
      </c>
      <c r="C96" s="6" t="s">
        <v>533</v>
      </c>
      <c r="D96" t="s">
        <v>693</v>
      </c>
      <c r="E96" t="s">
        <v>692</v>
      </c>
      <c r="F96" s="2" t="s">
        <v>475</v>
      </c>
      <c r="G96" s="2" t="s">
        <v>900</v>
      </c>
      <c r="H96" s="2" t="s">
        <v>900</v>
      </c>
      <c r="I96" s="2"/>
      <c r="J96" s="2"/>
      <c r="K96" s="2" t="s">
        <v>480</v>
      </c>
      <c r="L96" s="2"/>
      <c r="M96" s="2"/>
      <c r="N96" s="2"/>
      <c r="O96" s="2"/>
      <c r="P96" s="2"/>
      <c r="Q96" s="2"/>
      <c r="R96" s="2" t="s">
        <v>480</v>
      </c>
      <c r="S96" s="2"/>
      <c r="T96" s="2"/>
      <c r="U96" s="2"/>
      <c r="V96" s="2"/>
      <c r="W96" s="3" t="str">
        <f>CONCATENATE("var js",Table1[[#This Row],[IDs]]," = document.getElementbyId('",Table1[[#This Row],[IDs]],"').innerHTML; //  ",Table1[[#This Row],[Site]])</f>
        <v>var jsD19 = document.getElementbyId('D19').innerHTML; //  DOD CAC Overview</v>
      </c>
      <c r="X96" s="1" t="str">
        <f t="shared" si="5"/>
        <v xml:space="preserve">        &lt;!--DOD CAC Overview - https://www.cac.mil/ --&gt;&lt;div class='column catAll catDod catTech' style='margin-bottom: 0px;' id='D19'&gt;&lt;a href='https://www.cac.mil/' rel='noopener noreferrer' class='column hideMarquee'&gt;&lt;div class='armyCardContainer card'&gt;&lt;div class='armyCard'&gt;&lt;div&gt;&lt;p class='marquee'&gt;DoD ID Card Reference Center&lt;/p&gt;&lt;img src='assets/Card-015.png' class='cardImage' loading='lazy'&gt;&lt;/div&gt;&lt;div class='title'&gt;
          &lt;span&gt;DOD CAC Overview&lt;/span&gt;&lt;/div&gt;&lt;/div&gt;&lt;/div&gt;&lt;/a&gt;&lt;/div&gt;&lt;script&gt;var jsD19 = document.getElementById('D19').innerHTML;&lt;/script&gt;</v>
      </c>
      <c r="Y9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CAC Overview - https://www.cac.mil/ --&gt;
      &lt;summary&gt;• &lt;a href='https://www.cac.mil/' rel='noopener noreferrer'&gt;DOD CAC Overview - https://www.cac.mil/&lt;/a&gt;&lt;/summary&gt;
      &lt;p&gt;DoD ID Card Reference Center&lt;/p&gt;
    &lt;/details&gt;</v>
      </c>
      <c r="Z96" s="1" t="str">
        <f t="shared" si="4"/>
        <v xml:space="preserve">          &lt;!-- DOD CAC Overview - https://www.cac.mil/ --&gt;&lt;div id='dragD19' class='catAll catDod catTech'&gt;&lt;div class='column hideMarquee' draggable='true' ondragstart='drag(event)' value='D19' id='D19'&gt;&lt;div class='armyCardContainer ssCard'&gt;&lt;div class='ssArmyCard'&gt;&lt;div&gt;&lt;p class='marquee'&gt;DoD ID Card Reference Center&lt;/p&gt;&lt;img src='assets/Card-015.png' class='ssCardImage' draggable='false' loading='lazy'&gt;&lt;/div&gt;&lt;div class='ssTitle'&gt;&lt;span id='D19Title'&gt;DOD CAC Overview&lt;/span&gt;&lt;/div&gt;&lt;/div&gt;&lt;/div&gt;&lt;/div&gt;&lt;/div&gt;&lt;script&gt;var jsD19 = document.getElementById('dragD19').innerHTML;&lt;/script&gt;</v>
      </c>
      <c r="AA96" s="1" t="str">
        <f>CONCATENATE("var js",Table1[[#This Row],[IDs]]," = document.getElementbyId('drag",Table1[[#This Row],[IDs]],"').innerHTML; //  ",Table1[[#This Row],[Site]])</f>
        <v>var jsD19 = document.getElementbyId('dragD19').innerHTML; //  DOD CAC Overview</v>
      </c>
    </row>
    <row r="97" spans="1:27" ht="15" x14ac:dyDescent="0.25">
      <c r="A97" t="s">
        <v>158</v>
      </c>
      <c r="B97" t="s">
        <v>158</v>
      </c>
      <c r="C97" s="2" t="s">
        <v>460</v>
      </c>
      <c r="D97" t="s">
        <v>695</v>
      </c>
      <c r="E97" t="s">
        <v>694</v>
      </c>
      <c r="F97" s="2" t="s">
        <v>413</v>
      </c>
      <c r="G97" s="2" t="s">
        <v>900</v>
      </c>
      <c r="H97" s="2" t="s">
        <v>552</v>
      </c>
      <c r="I97" s="2"/>
      <c r="J97" s="2"/>
      <c r="K97" s="2" t="s">
        <v>480</v>
      </c>
      <c r="L97" s="2"/>
      <c r="M97" s="2"/>
      <c r="N97" s="2"/>
      <c r="O97" s="2"/>
      <c r="P97" s="2"/>
      <c r="Q97" s="2"/>
      <c r="R97" s="2" t="s">
        <v>18</v>
      </c>
      <c r="S97" s="2"/>
      <c r="T97" s="2"/>
      <c r="U97" s="2"/>
      <c r="V97" s="2"/>
      <c r="W97" s="3" t="str">
        <f>CONCATENATE("var js",Table1[[#This Row],[IDs]]," = document.getElementbyId('",Table1[[#This Row],[IDs]],"').innerHTML; //  ",Table1[[#This Row],[Site]])</f>
        <v>var jsD15 = document.getElementbyId('D15').innerHTML; //  DOD CAC Reference Center</v>
      </c>
      <c r="X97" s="1" t="str">
        <f t="shared" si="5"/>
        <v xml:space="preserve">        &lt;!--DOD CAC Reference Center - https://public.cyber.mil/pki-pke/tools-configuration-files/ --&gt;&lt;div class='column catAll catDod catTech' style='margin-bottom: 0px;' id='D15'&gt;&lt;a href='https://public.cyber.mil/pki-pke/tools-configuration-files/' rel='noopener noreferrer' class='column hideMarquee'&gt;&lt;div class='armyCardContainer card'&gt;&lt;div class='armyCard'&gt;&lt;div&gt;&lt;p class='marquee'&gt;The DOD Commmon Access Card Cert repository. Use the certs her to gain access to DOD websites with your common access card. Choose the correct one for your Operating System.&lt;/p&gt;&lt;img src='assets/CaCRequired.png' title='A CAC is required to use some or all features of this site!' Class='cacLocked'&gt;&lt;img src='assets/Card-145.jpg' class='cardImage' loading='lazy'&gt;&lt;/div&gt;&lt;div class='title'&gt;
          &lt;span&gt;DOD CAC Reference Center&lt;/span&gt;&lt;/div&gt;&lt;/div&gt;&lt;/div&gt;&lt;/a&gt;&lt;/div&gt;&lt;script&gt;var jsD15 = document.getElementById('D15').innerHTML;&lt;/script&gt;</v>
      </c>
      <c r="Y9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CAC Reference Center - https://public.cyber.mil/pki-pke/tools-configuration-files/ --&gt;
      &lt;summary&gt;• &lt;a href='https://public.cyber.mil/pki-pke/tools-configuration-files/' rel='noopener noreferrer'&gt;DOD CAC Reference Center - https://public.cyber.mil/pki-pke/tools-configuration-files/&lt;/a&gt;&lt;/summary&gt;
      &lt;p&gt;The DOD Commmon Access Card Cert repository. Use the certs her to gain access to DOD websites with your common access card. Choose the correct one for your Operating System.&lt;/p&gt;
    &lt;/details&gt;</v>
      </c>
      <c r="Z97" s="1" t="str">
        <f t="shared" si="4"/>
        <v xml:space="preserve">          &lt;!-- DOD CAC Reference Center - https://public.cyber.mil/pki-pke/tools-configuration-files/ --&gt;&lt;div id='dragD15' class='catAll catDod catTech'&gt;&lt;div class='column hideMarquee' draggable='true' ondragstart='drag(event)' value='D15' id='D15'&gt;&lt;div class='armyCardContainer ssCard'&gt;&lt;div class='ssArmyCard'&gt;&lt;div&gt;&lt;p class='marquee'&gt;The DOD Commmon Access Card Cert repository. Use the certs her to gain access to DOD websites with your common access card. Choose the correct one for your Operating System.&lt;/p&gt;&lt;img src='assets/Card-145.jpg' class='ssCardImage' draggable='false' loading='lazy'&gt;&lt;/div&gt;&lt;div class='ssTitle'&gt;&lt;span id='D15Title'&gt;DOD CAC Reference Center&lt;/span&gt;&lt;/div&gt;&lt;/div&gt;&lt;/div&gt;&lt;/div&gt;&lt;/div&gt;&lt;script&gt;var jsD15 = document.getElementById('dragD15').innerHTML;&lt;/script&gt;</v>
      </c>
      <c r="AA97" s="1" t="str">
        <f>CONCATENATE("var js",Table1[[#This Row],[IDs]]," = document.getElementbyId('drag",Table1[[#This Row],[IDs]],"').innerHTML; //  ",Table1[[#This Row],[Site]])</f>
        <v>var jsD15 = document.getElementbyId('dragD15').innerHTML; //  DOD CAC Reference Center</v>
      </c>
    </row>
    <row r="98" spans="1:27" ht="15" x14ac:dyDescent="0.25">
      <c r="A98" t="s">
        <v>462</v>
      </c>
      <c r="B98" t="s">
        <v>462</v>
      </c>
      <c r="C98" s="2" t="s">
        <v>464</v>
      </c>
      <c r="D98" t="s">
        <v>698</v>
      </c>
      <c r="E98" t="s">
        <v>696</v>
      </c>
      <c r="F98" s="2" t="s">
        <v>476</v>
      </c>
      <c r="G98" s="2" t="s">
        <v>900</v>
      </c>
      <c r="H98" s="2" t="s">
        <v>552</v>
      </c>
      <c r="I98" s="2"/>
      <c r="J98" s="2"/>
      <c r="K98" s="2" t="s">
        <v>480</v>
      </c>
      <c r="L98" s="2"/>
      <c r="M98" s="2"/>
      <c r="N98" s="2"/>
      <c r="O98" s="2"/>
      <c r="P98" s="2"/>
      <c r="Q98" s="2"/>
      <c r="R98" s="2" t="s">
        <v>480</v>
      </c>
      <c r="S98" s="2"/>
      <c r="T98" s="2"/>
      <c r="U98" s="2"/>
      <c r="V98" s="2"/>
      <c r="W98" s="3" t="str">
        <f>CONCATENATE("var js",Table1[[#This Row],[IDs]]," = document.getElementbyId('",Table1[[#This Row],[IDs]],"').innerHTML; //  ",Table1[[#This Row],[Site]])</f>
        <v>var jsD20 = document.getElementbyId('D20').innerHTML; //  DoD Cyber Exchange (NIPR)</v>
      </c>
      <c r="X98" s="1" t="str">
        <f t="shared" si="5"/>
        <v xml:space="preserve">        &lt;!--DoD Cyber Exchange (NIPR) - https://cyber.mil/ --&gt;&lt;div class='column catAll catDod catTech' style='margin-bottom: 0px;' id='D20'&gt;&lt;a href='https://cyber.mil/' rel='noopener noreferrer' class='column hideMarquee'&gt;&lt;div class='armyCardContainer card'&gt;&lt;div class='armyCard'&gt;&lt;div&gt;&lt;p class='marquee'&gt;The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have CAC access.&lt;/p&gt;&lt;img src='assets/CaCRequired.png' title='A CAC is required to use some or all features of this site!' Class='cacLocked'&gt;&lt;img src='assets/Card-144.jpg' class='cardImage' loading='lazy'&gt;&lt;/div&gt;&lt;div class='title'&gt;
          &lt;span&gt;DoD Cyber Exchange (NIPR)&lt;/span&gt;&lt;/div&gt;&lt;/div&gt;&lt;/div&gt;&lt;/a&gt;&lt;/div&gt;&lt;script&gt;var jsD20 = document.getElementById('D20').innerHTML;&lt;/script&gt;</v>
      </c>
      <c r="Y9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Cyber Exchange (NIPR) - https://cyber.mil/ --&gt;
      &lt;summary&gt;• &lt;a href='https://cyber.mil/' rel='noopener noreferrer'&gt;DoD Cyber Exchange (NIPR) - https://cyber.mil/&lt;/a&gt;&lt;/summary&gt;
      &lt;p&gt;The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have CAC access.&lt;/p&gt;
    &lt;/details&gt;</v>
      </c>
      <c r="Z98" s="1" t="str">
        <f t="shared" si="4"/>
        <v xml:space="preserve">          &lt;!-- DoD Cyber Exchange (NIPR) - https://cyber.mil/ --&gt;&lt;div id='dragD20' class='catAll catDod catTech'&gt;&lt;div class='column hideMarquee' draggable='true' ondragstart='drag(event)' value='D20' id='D20'&gt;&lt;div class='armyCardContainer ssCard'&gt;&lt;div class='ssArmyCard'&gt;&lt;div&gt;&lt;p class='marquee'&gt;The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have CAC access.&lt;/p&gt;&lt;img src='assets/Card-144.jpg' class='ssCardImage' draggable='false' loading='lazy'&gt;&lt;/div&gt;&lt;div class='ssTitle'&gt;&lt;span id='D20Title'&gt;DoD Cyber Exchange (NIPR)&lt;/span&gt;&lt;/div&gt;&lt;/div&gt;&lt;/div&gt;&lt;/div&gt;&lt;/div&gt;&lt;script&gt;var jsD20 = document.getElementById('dragD20').innerHTML;&lt;/script&gt;</v>
      </c>
      <c r="AA98" s="1" t="str">
        <f>CONCATENATE("var js",Table1[[#This Row],[IDs]]," = document.getElementbyId('drag",Table1[[#This Row],[IDs]],"').innerHTML; //  ",Table1[[#This Row],[Site]])</f>
        <v>var jsD20 = document.getElementbyId('dragD20').innerHTML; //  DoD Cyber Exchange (NIPR)</v>
      </c>
    </row>
    <row r="99" spans="1:27" ht="15" x14ac:dyDescent="0.25">
      <c r="A99" t="s">
        <v>473</v>
      </c>
      <c r="B99" t="s">
        <v>473</v>
      </c>
      <c r="C99" s="2" t="s">
        <v>463</v>
      </c>
      <c r="D99" t="s">
        <v>695</v>
      </c>
      <c r="E99" t="s">
        <v>697</v>
      </c>
      <c r="F99" s="2" t="s">
        <v>477</v>
      </c>
      <c r="G99" s="2" t="s">
        <v>900</v>
      </c>
      <c r="H99" s="2" t="s">
        <v>552</v>
      </c>
      <c r="I99" s="2"/>
      <c r="J99" s="2"/>
      <c r="K99" s="2" t="s">
        <v>480</v>
      </c>
      <c r="L99" s="2"/>
      <c r="M99" s="2"/>
      <c r="N99" s="2"/>
      <c r="O99" s="2"/>
      <c r="P99" s="2"/>
      <c r="Q99" s="2"/>
      <c r="R99" s="2" t="s">
        <v>480</v>
      </c>
      <c r="S99" s="2"/>
      <c r="T99" s="2"/>
      <c r="U99" s="2"/>
      <c r="V99" s="2"/>
      <c r="W99" s="3" t="str">
        <f>CONCATENATE("var js",Table1[[#This Row],[IDs]]," = document.getElementbyId('",Table1[[#This Row],[IDs]],"').innerHTML; //  ",Table1[[#This Row],[Site]])</f>
        <v>var jsD21 = document.getElementbyId('D21').innerHTML; //  DoD Cyber Exchange (Public)</v>
      </c>
      <c r="X99" s="1" t="str">
        <f t="shared" si="5"/>
        <v xml:space="preserve">        &lt;!--DoD Cyber Exchange (Public) - https://public.cyber.mil/ --&gt;&lt;div class='column catAll catDod catTech' style='margin-bottom: 0px;' id='D21'&gt;&lt;a href='https://public.cyber.mil/' rel='noopener noreferrer' class='column hideMarquee'&gt;&lt;div class='armyCardContainer card'&gt;&lt;div class='armyCard'&gt;&lt;div&gt;&lt;p class='marquee'&gt;The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do not have CAC access.&lt;/p&gt;&lt;img src='assets/CaCRequired.png' title='A CAC is required to use some or all features of this site!' Class='cacLocked'&gt;&lt;img src='assets/Card-145.jpg' class='cardImage' loading='lazy'&gt;&lt;/div&gt;&lt;div class='title'&gt;
          &lt;span&gt;DoD Cyber Exchange (Public)&lt;/span&gt;&lt;/div&gt;&lt;/div&gt;&lt;/div&gt;&lt;/a&gt;&lt;/div&gt;&lt;script&gt;var jsD21 = document.getElementById('D21').innerHTML;&lt;/script&gt;</v>
      </c>
      <c r="Y9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Cyber Exchange (Public) - https://public.cyber.mil/ --&gt;
      &lt;summary&gt;• &lt;a href='https://public.cyber.mil/' rel='noopener noreferrer'&gt;DoD Cyber Exchange (Public) - https://public.cyber.mil/&lt;/a&gt;&lt;/summary&gt;
      &lt;p&gt;The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do not have CAC access.&lt;/p&gt;
    &lt;/details&gt;</v>
      </c>
      <c r="Z99" s="1" t="str">
        <f t="shared" si="4"/>
        <v xml:space="preserve">          &lt;!-- DoD Cyber Exchange (Public) - https://public.cyber.mil/ --&gt;&lt;div id='dragD21' class='catAll catDod catTech'&gt;&lt;div class='column hideMarquee' draggable='true' ondragstart='drag(event)' value='D21' id='D21'&gt;&lt;div class='armyCardContainer ssCard'&gt;&lt;div class='ssArmyCard'&gt;&lt;div&gt;&lt;p class='marquee'&gt;The DoD Cyber Exchange provides one-stop access to cyber information, policy, guidance and training for cyber professionals throughout the DoD, and the general public. These resources are provided to enable the user to comply with rules, regulations, best practices and federal laws. DISA is mandated to support and sustain the DoD Cyber Exchange (formerly the Information Assurance Support Environment (IASE)) as directed by DoDI 8500.01 and DODD 8140.01. Use this if you do not have CAC access.&lt;/p&gt;&lt;img src='assets/Card-145.jpg' class='ssCardImage' draggable='false' loading='lazy'&gt;&lt;/div&gt;&lt;div class='ssTitle'&gt;&lt;span id='D21Title'&gt;DoD Cyber Exchange (Public)&lt;/span&gt;&lt;/div&gt;&lt;/div&gt;&lt;/div&gt;&lt;/div&gt;&lt;/div&gt;&lt;script&gt;var jsD21 = document.getElementById('dragD21').innerHTML;&lt;/script&gt;</v>
      </c>
      <c r="AA99" s="1" t="str">
        <f>CONCATENATE("var js",Table1[[#This Row],[IDs]]," = document.getElementbyId('drag",Table1[[#This Row],[IDs]],"').innerHTML; //  ",Table1[[#This Row],[Site]])</f>
        <v>var jsD21 = document.getElementbyId('dragD21').innerHTML; //  DoD Cyber Exchange (Public)</v>
      </c>
    </row>
    <row r="100" spans="1:27" ht="15" x14ac:dyDescent="0.25">
      <c r="A100" t="s">
        <v>508</v>
      </c>
      <c r="B100" t="s">
        <v>508</v>
      </c>
      <c r="C100" s="10" t="s">
        <v>509</v>
      </c>
      <c r="D100" t="s">
        <v>639</v>
      </c>
      <c r="E100"/>
      <c r="F100" s="2" t="s">
        <v>1007</v>
      </c>
      <c r="G100" s="2" t="s">
        <v>900</v>
      </c>
      <c r="H100" s="2" t="s">
        <v>900</v>
      </c>
      <c r="I100" s="2"/>
      <c r="J100" s="2"/>
      <c r="K100" s="2"/>
      <c r="L100" s="2"/>
      <c r="M100" s="2"/>
      <c r="N100" s="2"/>
      <c r="O100" s="2"/>
      <c r="P100" s="2"/>
      <c r="Q100" s="2"/>
      <c r="R100" s="2"/>
      <c r="S100" s="2"/>
      <c r="T100" s="2"/>
      <c r="U100" s="2"/>
      <c r="V100" s="2"/>
      <c r="W100" s="3" t="str">
        <f>CONCATENATE("var js",Table1[[#This Row],[IDs]]," = document.getElementbyId('",Table1[[#This Row],[IDs]],"').innerHTML; //  ",Table1[[#This Row],[Site]])</f>
        <v>var jsD23 = document.getElementbyId('D23').innerHTML; //  DoD Forms Management Program</v>
      </c>
      <c r="X100" s="1" t="str">
        <f t="shared" si="5"/>
        <v xml:space="preserve">        &lt;!--DoD Forms Management Program - https://www.esd.whs.mil/Directives/forms/ --&gt;&lt;div class='column catAll' style='margin-bottom: 0px;' id='D23'&gt;&lt;a href='https://www.esd.whs.mil/Directives/forms/' rel='noopener noreferrer' class='column hideMarquee'&gt;&lt;div class='armyCardContainer card'&gt;&lt;div class='armyCard'&gt;&lt;div&gt;&lt;p class='marquee'&gt;&lt;/p&gt;&lt;img src='assets/Card-000.gif' class='cardImage' loading='lazy'&gt;&lt;/div&gt;&lt;div class='title'&gt;
          &lt;span&gt;DoD Forms Management Program&lt;/span&gt;&lt;/div&gt;&lt;/div&gt;&lt;/div&gt;&lt;/a&gt;&lt;/div&gt;&lt;script&gt;var jsD23 = document.getElementById('D23').innerHTML;&lt;/script&gt;</v>
      </c>
      <c r="Y10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Forms Management Program - https://www.esd.whs.mil/Directives/forms/ --&gt;
      &lt;summary&gt;• &lt;a href='https://www.esd.whs.mil/Directives/forms/' rel='noopener noreferrer'&gt;DoD Forms Management Program - https://www.esd.whs.mil/Directives/forms/&lt;/a&gt;&lt;/summary&gt;
      &lt;p&gt;&lt;/p&gt;
    &lt;/details&gt;</v>
      </c>
      <c r="Z100" s="1" t="str">
        <f t="shared" si="4"/>
        <v xml:space="preserve">          &lt;!-- DoD Forms Management Program - https://www.esd.whs.mil/Directives/forms/ --&gt;&lt;div id='dragD23' class='catAll'&gt;&lt;div class='column hideMarquee' draggable='true' ondragstart='drag(event)' value='D23' id='D23'&gt;&lt;div class='armyCardContainer ssCard'&gt;&lt;div class='ssArmyCard'&gt;&lt;div&gt;&lt;p class='marquee'&gt;&lt;/p&gt;&lt;img src='assets/Card-000.gif' class='ssCardImage' draggable='false' loading='lazy'&gt;&lt;/div&gt;&lt;div class='ssTitle'&gt;&lt;span id='D23Title'&gt;DoD Forms Management Program&lt;/span&gt;&lt;/div&gt;&lt;/div&gt;&lt;/div&gt;&lt;/div&gt;&lt;/div&gt;&lt;script&gt;var jsD23 = document.getElementById('dragD23').innerHTML;&lt;/script&gt;</v>
      </c>
      <c r="AA100" s="1" t="str">
        <f>CONCATENATE("var js",Table1[[#This Row],[IDs]]," = document.getElementbyId('drag",Table1[[#This Row],[IDs]],"').innerHTML; //  ",Table1[[#This Row],[Site]])</f>
        <v>var jsD23 = document.getElementbyId('dragD23').innerHTML; //  DoD Forms Management Program</v>
      </c>
    </row>
    <row r="101" spans="1:27" ht="15" x14ac:dyDescent="0.25">
      <c r="A101" t="s">
        <v>160</v>
      </c>
      <c r="B101" t="s">
        <v>160</v>
      </c>
      <c r="C101" s="2" t="s">
        <v>161</v>
      </c>
      <c r="D101" t="s">
        <v>699</v>
      </c>
      <c r="E101" t="s">
        <v>700</v>
      </c>
      <c r="F101" s="2" t="s">
        <v>414</v>
      </c>
      <c r="G101" s="2" t="s">
        <v>900</v>
      </c>
      <c r="H101" s="2" t="s">
        <v>900</v>
      </c>
      <c r="I101" s="2"/>
      <c r="J101" s="2"/>
      <c r="K101" s="2"/>
      <c r="L101" s="2" t="s">
        <v>18</v>
      </c>
      <c r="M101" s="2"/>
      <c r="N101" s="2"/>
      <c r="O101" s="2"/>
      <c r="P101" s="2"/>
      <c r="Q101" s="2"/>
      <c r="R101" s="2"/>
      <c r="S101" s="2"/>
      <c r="T101" s="2"/>
      <c r="U101" s="2"/>
      <c r="V101" s="2"/>
      <c r="W101" s="3" t="str">
        <f>CONCATENATE("var js",Table1[[#This Row],[IDs]]," = document.getElementbyId('",Table1[[#This Row],[IDs]],"').innerHTML; //  ",Table1[[#This Row],[Site]])</f>
        <v>var jsD16 = document.getElementbyId('D16').innerHTML; //  DOD MWR Libraries Overdrive</v>
      </c>
      <c r="X101" s="1" t="str">
        <f t="shared" si="5"/>
        <v xml:space="preserve">        &lt;!--DOD MWR Libraries Overdrive - https://dod.overdrive.com/dod-armymwr/content --&gt;&lt;div class='column catAll catFamily' style='margin-bottom: 0px;' id='D16'&gt;&lt;a href='https://dod.overdrive.com/dod-armymwr/content' rel='noopener noreferrer' class='column hideMarquee'&gt;&lt;div class='armyCardContainer card'&gt;&lt;div class='armyCard'&gt;&lt;div&gt;&lt;p class='marquee'&gt;Army MWR Digital Library (Sign up at your on post library). A large free repository for eBooks, Comics, Audiobooks, TV, and Movies!&lt;/p&gt;&lt;img src='assets/Card-143.png' class='cardImage' loading='lazy'&gt;&lt;/div&gt;&lt;div class='title'&gt;
          &lt;span&gt;DOD MWR Libraries Overdrive&lt;/span&gt;&lt;/div&gt;&lt;/div&gt;&lt;/div&gt;&lt;/a&gt;&lt;/div&gt;&lt;script&gt;var jsD16 = document.getElementById('D16').innerHTML;&lt;/script&gt;</v>
      </c>
      <c r="Y10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MWR Libraries Overdrive - https://dod.overdrive.com/dod-armymwr/content --&gt;
      &lt;summary&gt;• &lt;a href='https://dod.overdrive.com/dod-armymwr/content' rel='noopener noreferrer'&gt;DOD MWR Libraries Overdrive - https://dod.overdrive.com/dod-armymwr/content&lt;/a&gt;&lt;/summary&gt;
      &lt;p&gt;Army MWR Digital Library (Sign up at your on post library). A large free repository for eBooks, Comics, Audiobooks, TV, and Movies!&lt;/p&gt;
    &lt;/details&gt;</v>
      </c>
      <c r="Z101" s="1" t="str">
        <f t="shared" si="4"/>
        <v xml:space="preserve">          &lt;!-- DOD MWR Libraries Overdrive - https://dod.overdrive.com/dod-armymwr/content --&gt;&lt;div id='dragD16' class='catAll catFamily'&gt;&lt;div class='column hideMarquee' draggable='true' ondragstart='drag(event)' value='D16' id='D16'&gt;&lt;div class='armyCardContainer ssCard'&gt;&lt;div class='ssArmyCard'&gt;&lt;div&gt;&lt;p class='marquee'&gt;Army MWR Digital Library (Sign up at your on post library). A large free repository for eBooks, Comics, Audiobooks, TV, and Movies!&lt;/p&gt;&lt;img src='assets/Card-143.png' class='ssCardImage' draggable='false' loading='lazy'&gt;&lt;/div&gt;&lt;div class='ssTitle'&gt;&lt;span id='D16Title'&gt;DOD MWR Libraries Overdrive&lt;/span&gt;&lt;/div&gt;&lt;/div&gt;&lt;/div&gt;&lt;/div&gt;&lt;/div&gt;&lt;script&gt;var jsD16 = document.getElementById('dragD16').innerHTML;&lt;/script&gt;</v>
      </c>
      <c r="AA101" s="1" t="str">
        <f>CONCATENATE("var js",Table1[[#This Row],[IDs]]," = document.getElementbyId('drag",Table1[[#This Row],[IDs]],"').innerHTML; //  ",Table1[[#This Row],[Site]])</f>
        <v>var jsD16 = document.getElementbyId('dragD16').innerHTML; //  DOD MWR Libraries Overdrive</v>
      </c>
    </row>
    <row r="102" spans="1:27" ht="15" hidden="1" x14ac:dyDescent="0.25">
      <c r="A102" t="s">
        <v>512</v>
      </c>
      <c r="B102" t="s">
        <v>512</v>
      </c>
      <c r="C102" s="2" t="s">
        <v>514</v>
      </c>
      <c r="D102" t="s">
        <v>639</v>
      </c>
      <c r="E102"/>
      <c r="F102" s="2" t="s">
        <v>1008</v>
      </c>
      <c r="G102" s="2"/>
      <c r="H102" s="2"/>
      <c r="I102" s="2"/>
      <c r="J102" s="2"/>
      <c r="K102" s="2"/>
      <c r="L102" s="2"/>
      <c r="M102" s="2"/>
      <c r="N102" s="2"/>
      <c r="O102" s="2"/>
      <c r="P102" s="2"/>
      <c r="Q102" s="2"/>
      <c r="R102" s="2"/>
      <c r="S102" s="2"/>
      <c r="T102" s="2"/>
      <c r="U102" s="2"/>
      <c r="V102" s="2"/>
      <c r="W102" s="3" t="str">
        <f>CONCATENATE("var js",Table1[[#This Row],[IDs]]," = document.getElementbyId('",Table1[[#This Row],[IDs]],"').innerHTML; //  ",Table1[[#This Row],[Site]])</f>
        <v>var jsD24 = document.getElementbyId('D24').innerHTML; //  DoD PKI</v>
      </c>
      <c r="X102" s="1" t="str">
        <f>CONCATENATE("        &lt;!--",A102," - ",C102," --&gt;
        &lt;div class='column catAll",IF(I102="X"," catArmySites",""),IF(J102="X"," catCombatReadiness",""),IF(K102="X"," catDod",""),IF(L102="X"," catFamily",""),IF(M102="X"," catFinance",""),IF(N102="X"," catHealth",""),IF(O102="X"," catHuman",""),IF(P102="X"," catLegal",""),IF(Q102="X"," catProDev",""),IF(R102="X"," catTech",""),IF(S102="X"," catMilEd",""),IF(T102="X"," catCivEd",""),IF(U102="X"," catUsGov",""),"' style='margin-bottom: 0px;' id='",F102,"'&gt;
          &lt;a href='",C102,"' rel='noopener noreferrer' class='column hideMarquee'&gt;
            &lt;div class='armyCardContainer card'&gt;
              &lt;div class='armyCard'&gt;
                &lt;div&gt;
                  &lt;p class='marquee'&gt;",E102,"&lt;/p&gt;",
IF(H102="Yes","									&lt;img src='assets/CaCRequired.png'  title='A CAC is required to use some or all features of this site!' Class='cacLocked'&gt;
",""),IF(G102="Yes","									&lt;img src='assets/DODlock.png' title='This Site requires a DoD network connection to be used!' Class='dodLocked'&gt;
",""),"
                  &lt;img src='assets/",D102,"' class='cardImage' loading='lazy'&gt;
                &lt;/div&gt;
                &lt;div class='title'&gt;
                  &lt;span&gt;",A102,"&lt;/span&gt;
                &lt;/div&gt;
              &lt;/div&gt;
            &lt;/div&gt;
          &lt;/a&gt;
        &lt;/div&gt;")</f>
        <v xml:space="preserve">        &lt;!--DoD PKI - https://ara-6.csd.disa.mil/ --&gt;
        &lt;div class='column catAll' style='margin-bottom: 0px;' id='D24'&gt;
          &lt;a href='https://ara-6.csd.disa.mil/' rel='noopener noreferrer' class='column hideMarquee'&gt;
            &lt;div class='armyCardContainer card'&gt;
              &lt;div class='armyCard'&gt;
                &lt;div&gt;
                  &lt;p class='marquee'&gt;&lt;/p&gt;
                  &lt;img src='assets/Card-000.gif' class='cardImage' loading='lazy'&gt;
                &lt;/div&gt;
                &lt;div class='title'&gt;
                  &lt;span&gt;DoD PKI&lt;/span&gt;
                &lt;/div&gt;
              &lt;/div&gt;
            &lt;/div&gt;
          &lt;/a&gt;
        &lt;/div&gt;</v>
      </c>
      <c r="Y10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PKI - https://ara-6.csd.disa.mil/ --&gt;
      &lt;summary&gt;• &lt;a href='https://ara-6.csd.disa.mil/' rel='noopener noreferrer'&gt;DoD PKI - https://ara-6.csd.disa.mil/&lt;/a&gt;&lt;/summary&gt;
      &lt;p&gt;&lt;/p&gt;
    &lt;/details&gt;</v>
      </c>
      <c r="Z102" s="1" t="str">
        <f t="shared" si="4"/>
        <v xml:space="preserve">          &lt;!-- DoD PKI - https://ara-6.csd.disa.mil/ --&gt;&lt;div id='dragD24' class='catAll'&gt;&lt;div class='column hideMarquee' draggable='true' ondragstart='drag(event)' value='D24' id='D24'&gt;&lt;div class='armyCardContainer ssCard'&gt;&lt;div class='ssArmyCard'&gt;&lt;div&gt;&lt;p class='marquee'&gt;&lt;/p&gt;&lt;img src='assets/Card-000.gif' class='ssCardImage' draggable='false' loading='lazy'&gt;&lt;/div&gt;&lt;div class='ssTitle'&gt;&lt;span id='D24Title'&gt;DoD PKI&lt;/span&gt;&lt;/div&gt;&lt;/div&gt;&lt;/div&gt;&lt;/div&gt;&lt;/div&gt;&lt;script&gt;var jsD24 = document.getElementById('dragD24').innerHTML;&lt;/script&gt;</v>
      </c>
      <c r="AA102" s="1" t="str">
        <f>CONCATENATE("var js",Table1[[#This Row],[IDs]]," = document.getElementbyId('drag",Table1[[#This Row],[IDs]],"').innerHTML; //  ",Table1[[#This Row],[Site]])</f>
        <v>var jsD24 = document.getElementbyId('dragD24').innerHTML; //  DoD PKI</v>
      </c>
    </row>
    <row r="103" spans="1:27" ht="15" hidden="1" x14ac:dyDescent="0.25">
      <c r="A103" t="s">
        <v>512</v>
      </c>
      <c r="B103" t="s">
        <v>512</v>
      </c>
      <c r="C103" s="2" t="s">
        <v>513</v>
      </c>
      <c r="D103" t="s">
        <v>639</v>
      </c>
      <c r="E103"/>
      <c r="F103" s="2" t="s">
        <v>1009</v>
      </c>
      <c r="G103" s="2"/>
      <c r="H103" s="2"/>
      <c r="I103" s="2"/>
      <c r="J103" s="2"/>
      <c r="K103" s="2"/>
      <c r="L103" s="2"/>
      <c r="M103" s="2"/>
      <c r="N103" s="2"/>
      <c r="O103" s="2"/>
      <c r="P103" s="2"/>
      <c r="Q103" s="2"/>
      <c r="R103" s="2"/>
      <c r="S103" s="2"/>
      <c r="T103" s="2"/>
      <c r="U103" s="2"/>
      <c r="V103" s="2"/>
      <c r="W103" s="3" t="str">
        <f>CONCATENATE("var js",Table1[[#This Row],[IDs]]," = document.getElementbyId('",Table1[[#This Row],[IDs]],"').innerHTML; //  ",Table1[[#This Row],[Site]])</f>
        <v>var jsD25 = document.getElementbyId('D25').innerHTML; //  DoD PKI</v>
      </c>
      <c r="X103" s="1" t="str">
        <f>CONCATENATE("        &lt;!--",A103," - ",C103," --&gt;
        &lt;div class='column catAll",IF(I103="X"," catArmySites",""),IF(J103="X"," catCombatReadiness",""),IF(K103="X"," catDod",""),IF(L103="X"," catFamily",""),IF(M103="X"," catFinance",""),IF(N103="X"," catHealth",""),IF(O103="X"," catHuman",""),IF(P103="X"," catLegal",""),IF(Q103="X"," catProDev",""),IF(R103="X"," catTech",""),IF(S103="X"," catMilEd",""),IF(T103="X"," catCivEd",""),IF(U103="X"," catUsGov",""),"' style='margin-bottom: 0px;' id='",F103,"'&gt;
          &lt;a href='",C103,"' rel='noopener noreferrer' class='column hideMarquee'&gt;
            &lt;div class='armyCardContainer card'&gt;
              &lt;div class='armyCard'&gt;
                &lt;div&gt;
                  &lt;p class='marquee'&gt;",E103,"&lt;/p&gt;",
IF(H103="Yes","									&lt;img src='assets/CaCRequired.png'  title='A CAC is required to use some or all features of this site!' Class='cacLocked'&gt;
",""),IF(G103="Yes","									&lt;img src='assets/DODlock.png' title='This Site requires a DoD network connection to be used!' Class='dodLocked'&gt;
",""),"
                  &lt;img src='assets/",D103,"' class='cardImage' loading='lazy'&gt;
                &lt;/div&gt;
                &lt;div class='title'&gt;
                  &lt;span&gt;",A103,"&lt;/span&gt;
                &lt;/div&gt;
              &lt;/div&gt;
            &lt;/div&gt;
          &lt;/a&gt;
        &lt;/div&gt;")</f>
        <v xml:space="preserve">        &lt;!--DoD PKI - https://ara-5.csd.disa.mil/ --&gt;
        &lt;div class='column catAll' style='margin-bottom: 0px;' id='D25'&gt;
          &lt;a href='https://ara-5.csd.disa.mil/' rel='noopener noreferrer' class='column hideMarquee'&gt;
            &lt;div class='armyCardContainer card'&gt;
              &lt;div class='armyCard'&gt;
                &lt;div&gt;
                  &lt;p class='marquee'&gt;&lt;/p&gt;
                  &lt;img src='assets/Card-000.gif' class='cardImage' loading='lazy'&gt;
                &lt;/div&gt;
                &lt;div class='title'&gt;
                  &lt;span&gt;DoD PKI&lt;/span&gt;
                &lt;/div&gt;
              &lt;/div&gt;
            &lt;/div&gt;
          &lt;/a&gt;
        &lt;/div&gt;</v>
      </c>
      <c r="Y10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PKI - https://ara-5.csd.disa.mil/ --&gt;
      &lt;summary&gt;• &lt;a href='https://ara-5.csd.disa.mil/' rel='noopener noreferrer'&gt;DoD PKI - https://ara-5.csd.disa.mil/&lt;/a&gt;&lt;/summary&gt;
      &lt;p&gt;&lt;/p&gt;
    &lt;/details&gt;</v>
      </c>
      <c r="Z103" s="1" t="str">
        <f t="shared" si="4"/>
        <v xml:space="preserve">          &lt;!-- DoD PKI - https://ara-5.csd.disa.mil/ --&gt;&lt;div id='dragD25' class='catAll'&gt;&lt;div class='column hideMarquee' draggable='true' ondragstart='drag(event)' value='D25' id='D25'&gt;&lt;div class='armyCardContainer ssCard'&gt;&lt;div class='ssArmyCard'&gt;&lt;div&gt;&lt;p class='marquee'&gt;&lt;/p&gt;&lt;img src='assets/Card-000.gif' class='ssCardImage' draggable='false' loading='lazy'&gt;&lt;/div&gt;&lt;div class='ssTitle'&gt;&lt;span id='D25Title'&gt;DoD PKI&lt;/span&gt;&lt;/div&gt;&lt;/div&gt;&lt;/div&gt;&lt;/div&gt;&lt;/div&gt;&lt;script&gt;var jsD25 = document.getElementById('dragD25').innerHTML;&lt;/script&gt;</v>
      </c>
      <c r="AA103" s="1" t="str">
        <f>CONCATENATE("var js",Table1[[#This Row],[IDs]]," = document.getElementbyId('drag",Table1[[#This Row],[IDs]],"').innerHTML; //  ",Table1[[#This Row],[Site]])</f>
        <v>var jsD25 = document.getElementbyId('dragD25').innerHTML; //  DoD PKI</v>
      </c>
    </row>
    <row r="104" spans="1:27" ht="15" x14ac:dyDescent="0.25">
      <c r="A104" s="1" t="s">
        <v>1026</v>
      </c>
      <c r="B104" s="1" t="s">
        <v>955</v>
      </c>
      <c r="C104" s="10" t="s">
        <v>515</v>
      </c>
      <c r="D104" t="s">
        <v>623</v>
      </c>
      <c r="E104" s="1" t="s">
        <v>934</v>
      </c>
      <c r="F104" s="2" t="s">
        <v>1015</v>
      </c>
      <c r="G104" s="2" t="s">
        <v>900</v>
      </c>
      <c r="H104" s="2" t="s">
        <v>552</v>
      </c>
      <c r="I104" s="2"/>
      <c r="J104" s="2"/>
      <c r="K104" s="2" t="s">
        <v>18</v>
      </c>
      <c r="L104" s="2"/>
      <c r="M104" s="2"/>
      <c r="N104" s="2"/>
      <c r="O104" s="2"/>
      <c r="P104" s="2"/>
      <c r="Q104" s="2"/>
      <c r="R104" s="2" t="s">
        <v>18</v>
      </c>
      <c r="S104" s="2"/>
      <c r="T104" s="2"/>
      <c r="U104" s="2"/>
      <c r="V104" s="2"/>
      <c r="W104" s="3" t="str">
        <f>CONCATENATE("var js",Table1[[#This Row],[IDs]]," = document.getElementbyId('",Table1[[#This Row],[IDs]],"').innerHTML; //  ",Table1[[#This Row],[Site]])</f>
        <v>var jsD29 = document.getElementbyId('D29').innerHTML; //  DoD Secure Access File Exchange (SAFE)</v>
      </c>
      <c r="X104" s="1" t="str">
        <f t="shared" ref="X104:X109" si="6">CONCATENATE("        &lt;!--",A104," - ",C104," --&gt;&lt;div class='column catAll",IF(I104="X"," catArmySites",""),IF(J104="X"," catCombatReadiness",""),IF(K104="X"," catDod",""),IF(L104="X"," catFamily",""),IF(M104="X"," catFinance",""),IF(N104="X"," catHealth",""),IF(O104="X"," catHuman",""),IF(P104="X"," catLegal",""),IF(Q104="X"," catProDev",""),IF(R104="X"," catTech",""),IF(S104="X"," catMilEd",""),IF(T104="X"," catCivEd",""),IF(U104="X"," catUsGov",""),"' style='margin-bottom: 0px;' id='",F104,"'&gt;&lt;a href='",C104,"' rel='noopener noreferrer' class='column hideMarquee'&gt;&lt;div class='armyCardContainer card'&gt;&lt;div class='armyCard'&gt;&lt;div&gt;&lt;p class='marquee'&gt;",E104,"&lt;/p&gt;",IF(H104="Yes","&lt;img src='assets/CaCRequired.png' title='A CAC is required to use some or all features of this site!' Class='cacLocked'&gt;",""),IF(G104="Yes","&lt;img src='assets/DODlock.png' title='This Site requires a DoD network connection to be used!' Class='dodLocked'&gt;",""),"&lt;img src='assets/",D104,"' class='cardImage' loading='lazy'&gt;&lt;/div&gt;&lt;div class='title'&gt;
          &lt;span&gt;",A104,"&lt;/span&gt;&lt;/div&gt;&lt;/div&gt;&lt;/div&gt;&lt;/a&gt;&lt;/div&gt;&lt;script&gt;var js",F104," = document.getElementById('",F104,"').innerHTML;&lt;/script&gt;")</f>
        <v xml:space="preserve">        &lt;!--DoD Secure Access File Exchange (SAFE) - https://safe.apps.mil/ --&gt;&lt;div class='column catAll catDod catTech' style='margin-bottom: 0px;' id='D29'&gt;&lt;a href='https://safe.apps.mil/' rel='noopener noreferrer' class='column hideMarquee'&gt;&lt;div class='armyCardContainer card'&gt;&lt;div class='armyCard'&gt;&lt;div&gt;&lt;p class='marquee'&gt;DoD SAFE is a web-based tool that provides authenticated DoD CAC users and guests (unauthenticated users) the capability to securely send and receive large files, including files that are too large to be transmitted via email.&lt;/p&gt;&lt;img src='assets/CaCRequired.png' title='A CAC is required to use some or all features of this site!' Class='cacLocked'&gt;&lt;img src='assets/Card-001.png' class='cardImage' loading='lazy'&gt;&lt;/div&gt;&lt;div class='title'&gt;
          &lt;span&gt;DoD Secure Access File Exchange (SAFE)&lt;/span&gt;&lt;/div&gt;&lt;/div&gt;&lt;/div&gt;&lt;/a&gt;&lt;/div&gt;&lt;script&gt;var jsD29 = document.getElementById('D29').innerHTML;&lt;/script&gt;</v>
      </c>
      <c r="Y10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Secure Access File Exchange (SAFE) - https://safe.apps.mil/ --&gt;
      &lt;summary&gt;• &lt;a href='https://safe.apps.mil/' rel='noopener noreferrer'&gt;DoD Secure Access File Exchange (SAFE) - https://safe.apps.mil/&lt;/a&gt;&lt;/summary&gt;
      &lt;p&gt;DoD SAFE is a web-based tool that provides authenticated DoD CAC users and guests (unauthenticated users) the capability to securely send and receive large files, including files that are too large to be transmitted via email.&lt;/p&gt;
    &lt;/details&gt;</v>
      </c>
      <c r="Z104" s="1" t="str">
        <f t="shared" si="4"/>
        <v xml:space="preserve">          &lt;!-- DoD Secure Access File Exchange&lt;br&gt;(SAFE) - https://safe.apps.mil/ --&gt;&lt;div id='dragD29' class='catAll catDod catTech'&gt;&lt;div class='column hideMarquee' draggable='true' ondragstart='drag(event)' value='D29' id='D29'&gt;&lt;div class='armyCardContainer ssCard'&gt;&lt;div class='ssArmyCard'&gt;&lt;div&gt;&lt;p class='marquee'&gt;DoD SAFE is a web-based tool that provides authenticated DoD CAC users and guests (unauthenticated users) the capability to securely send and receive large files, including files that are too large to be transmitted via email.&lt;/p&gt;&lt;img src='assets/Card-001.png' class='ssCardImage' draggable='false' loading='lazy'&gt;&lt;/div&gt;&lt;div class='ssTitle'&gt;&lt;span id='D29Title'&gt;DoD Secure Access File Exchange (SAFE)&lt;/span&gt;&lt;/div&gt;&lt;/div&gt;&lt;/div&gt;&lt;/div&gt;&lt;/div&gt;&lt;script&gt;var jsD29 = document.getElementById('dragD29').innerHTML;&lt;/script&gt;</v>
      </c>
      <c r="AA104" s="1" t="str">
        <f>CONCATENATE("var js",Table1[[#This Row],[IDs]]," = document.getElementbyId('drag",Table1[[#This Row],[IDs]],"').innerHTML; //  ",Table1[[#This Row],[Site]])</f>
        <v>var jsD29 = document.getElementbyId('dragD29').innerHTML; //  DoD Secure Access File Exchange (SAFE)</v>
      </c>
    </row>
    <row r="105" spans="1:27" ht="15" x14ac:dyDescent="0.25">
      <c r="A105" t="s">
        <v>953</v>
      </c>
      <c r="B105" t="s">
        <v>953</v>
      </c>
      <c r="C105" s="10" t="s">
        <v>496</v>
      </c>
      <c r="D105" t="s">
        <v>964</v>
      </c>
      <c r="E105" s="1" t="s">
        <v>918</v>
      </c>
      <c r="F105" s="2" t="s">
        <v>1016</v>
      </c>
      <c r="G105" s="2" t="s">
        <v>900</v>
      </c>
      <c r="H105" s="2" t="s">
        <v>900</v>
      </c>
      <c r="I105" s="2"/>
      <c r="J105" s="2"/>
      <c r="K105" s="2"/>
      <c r="L105" s="2"/>
      <c r="M105" s="2"/>
      <c r="N105" s="2"/>
      <c r="O105" s="2"/>
      <c r="P105" s="2"/>
      <c r="Q105" s="2" t="s">
        <v>18</v>
      </c>
      <c r="R105" s="2"/>
      <c r="S105" s="2" t="s">
        <v>18</v>
      </c>
      <c r="T105" s="2" t="s">
        <v>18</v>
      </c>
      <c r="U105" s="2"/>
      <c r="V105" s="2"/>
      <c r="W105" s="3" t="str">
        <f>CONCATENATE("var js",Table1[[#This Row],[IDs]]," = document.getElementbyId('",Table1[[#This Row],[IDs]],"').innerHTML; //  ",Table1[[#This Row],[Site]])</f>
        <v>var jsD30 = document.getElementbyId('D30').innerHTML; //  DoD SkillBridge</v>
      </c>
      <c r="X105" s="1" t="str">
        <f t="shared" si="6"/>
        <v xml:space="preserve">        &lt;!--DoD SkillBridge - https://skillbridge.osd.mil/ --&gt;&lt;div class='column catAll catProDev catMilEd catCivEd' style='margin-bottom: 0px;' id='D30'&gt;&lt;a href='https://skillbridge.osd.mil/' rel='noopener noreferrer' class='column hideMarquee'&gt;&lt;div class='armyCardContainer card'&gt;&lt;div class='armyCard'&gt;&lt;div&gt;&lt;p class='marquee'&gt;The DOD SkillBridge program is an opportunity for Service members to gain valuable civilian work experience through specific industry training, apprenticeships, or internships during the last 180 days of service. SkillBridge connects Service members with industry partners in real-world job experiences.&lt;/p&gt;&lt;img src='assets/Card-163.png' class='cardImage' loading='lazy'&gt;&lt;/div&gt;&lt;div class='title'&gt;
          &lt;span&gt;DoD SkillBridge&lt;/span&gt;&lt;/div&gt;&lt;/div&gt;&lt;/div&gt;&lt;/a&gt;&lt;/div&gt;&lt;script&gt;var jsD30 = document.getElementById('D30').innerHTML;&lt;/script&gt;</v>
      </c>
      <c r="Y10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DoD SkillBridge - https://skillbridge.osd.mil/ --&gt;
      &lt;summary&gt;• &lt;a href='https://skillbridge.osd.mil/' rel='noopener noreferrer'&gt;DoD SkillBridge - https://skillbridge.osd.mil/&lt;/a&gt;&lt;/summary&gt;
      &lt;p&gt;The DOD SkillBridge program is an opportunity for Service members to gain valuable civilian work experience through specific industry training, apprenticeships, or internships during the last 180 days of service. SkillBridge connects Service members with industry partners in real-world job experiences.&lt;/p&gt;
    &lt;/details&gt;</v>
      </c>
      <c r="Z105" s="1" t="str">
        <f t="shared" si="4"/>
        <v xml:space="preserve">          &lt;!-- DoD SkillBridge - https://skillbridge.osd.mil/ --&gt;&lt;div id='dragD30' class='catAll catProDev catMilEd catCivEd'&gt;&lt;div class='column hideMarquee' draggable='true' ondragstart='drag(event)' value='D30' id='D30'&gt;&lt;div class='armyCardContainer ssCard'&gt;&lt;div class='ssArmyCard'&gt;&lt;div&gt;&lt;p class='marquee'&gt;The DOD SkillBridge program is an opportunity for Service members to gain valuable civilian work experience through specific industry training, apprenticeships, or internships during the last 180 days of service. SkillBridge connects Service members with industry partners in real-world job experiences.&lt;/p&gt;&lt;img src='assets/Card-163.png' class='ssCardImage' draggable='false' loading='lazy'&gt;&lt;/div&gt;&lt;div class='ssTitle'&gt;&lt;span id='D30Title'&gt;DoD SkillBridge&lt;/span&gt;&lt;/div&gt;&lt;/div&gt;&lt;/div&gt;&lt;/div&gt;&lt;/div&gt;&lt;script&gt;var jsD30 = document.getElementById('dragD30').innerHTML;&lt;/script&gt;</v>
      </c>
      <c r="AA105" s="1" t="str">
        <f>CONCATENATE("var js",Table1[[#This Row],[IDs]]," = document.getElementbyId('drag",Table1[[#This Row],[IDs]],"').innerHTML; //  ",Table1[[#This Row],[Site]])</f>
        <v>var jsD30 = document.getElementbyId('dragD30').innerHTML; //  DoD SkillBridge</v>
      </c>
    </row>
    <row r="106" spans="1:27" ht="15" x14ac:dyDescent="0.25">
      <c r="A106" s="1" t="s">
        <v>1027</v>
      </c>
      <c r="B106" t="s">
        <v>954</v>
      </c>
      <c r="C106" s="9" t="s">
        <v>516</v>
      </c>
      <c r="D106" t="s">
        <v>623</v>
      </c>
      <c r="E106" s="1" t="s">
        <v>991</v>
      </c>
      <c r="F106" s="2" t="s">
        <v>1017</v>
      </c>
      <c r="G106" s="2" t="s">
        <v>552</v>
      </c>
      <c r="H106" s="2" t="s">
        <v>552</v>
      </c>
      <c r="I106" s="2"/>
      <c r="J106" s="2"/>
      <c r="K106" s="2" t="s">
        <v>18</v>
      </c>
      <c r="L106" s="2"/>
      <c r="M106" s="2"/>
      <c r="N106" s="2"/>
      <c r="O106" s="2"/>
      <c r="P106" s="2"/>
      <c r="Q106" s="2"/>
      <c r="R106" s="2" t="s">
        <v>18</v>
      </c>
      <c r="S106" s="2"/>
      <c r="T106" s="2"/>
      <c r="U106" s="2"/>
      <c r="V106" s="2"/>
      <c r="W106" s="3" t="str">
        <f>CONCATENATE("var js",Table1[[#This Row],[IDs]]," = document.getElementbyId('",Table1[[#This Row],[IDs]],"').innerHTML; //  ",Table1[[#This Row],[Site]])</f>
        <v>var jsD31 = document.getElementbyId('D31').innerHTML; //  Dredging Operations Technical Support (DOTS)</v>
      </c>
      <c r="X106" s="1" t="str">
        <f t="shared" si="6"/>
        <v xml:space="preserve">        &lt;!--Dredging Operations Technical Support (DOTS) - https://dots.dodiis.mil/ --&gt;&lt;div class='column catAll catDod catTech' style='margin-bottom: 0px;' id='D31'&gt;&lt;a href='https://dots.dodiis.mil/' rel='noopener noreferrer' class='column hideMarquee'&gt;&lt;div class='armyCardContainer card'&gt;&lt;div class='armyCard'&gt;&lt;div&gt;&lt;p class='marquee'&gt;DOTS Allows for sending files/email to classifed networks.&lt;/p&gt;&lt;img src='assets/CaCRequired.png' title='A CAC is required to use some or all features of this site!' Class='cacLocked'&gt;&lt;img src='assets/DODlock.png' title='This Site requires a DoD network connection to be used!' Class='dodLocked'&gt;&lt;img src='assets/Card-001.png' class='cardImage' loading='lazy'&gt;&lt;/div&gt;&lt;div class='title'&gt;
          &lt;span&gt;Dredging Operations Technical Support (DOTS)&lt;/span&gt;&lt;/div&gt;&lt;/div&gt;&lt;/div&gt;&lt;/a&gt;&lt;/div&gt;&lt;script&gt;var jsD31 = document.getElementById('D31').innerHTML;&lt;/script&gt;</v>
      </c>
      <c r="Y10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Dredging Operations Technical Support (DOTS) - https://dots.dodiis.mil/ --&gt;
      &lt;summary&gt;• &lt;a href='https://dots.dodiis.mil/' rel='noopener noreferrer'&gt;Dredging Operations Technical Support (DOTS) - https://dots.dodiis.mil/&lt;/a&gt;&lt;/summary&gt;
      &lt;p&gt;DOTS Allows for sending files/email to classifed networks.&lt;/p&gt;
    &lt;/details&gt;</v>
      </c>
      <c r="Z106" s="1" t="str">
        <f t="shared" si="4"/>
        <v xml:space="preserve">          &lt;!-- Dredging Operations Technical Support&lt;br&gt;(DOTS) - https://dots.dodiis.mil/ --&gt;&lt;div id='dragD31' class='catAll catDod catTech'&gt;&lt;div class='column hideMarquee' draggable='true' ondragstart='drag(event)' value='D31' id='D31'&gt;&lt;div class='armyCardContainer ssCard'&gt;&lt;div class='ssArmyCard'&gt;&lt;div&gt;&lt;p class='marquee'&gt;DOTS Allows for sending files/email to classifed networks.&lt;/p&gt;&lt;img src='assets/Card-001.png' class='ssCardImage' draggable='false' loading='lazy'&gt;&lt;/div&gt;&lt;div class='ssTitle'&gt;&lt;span id='D31Title'&gt;Dredging Operations Technical Support (DOTS)&lt;/span&gt;&lt;/div&gt;&lt;/div&gt;&lt;/div&gt;&lt;/div&gt;&lt;/div&gt;&lt;script&gt;var jsD31 = document.getElementById('dragD31').innerHTML;&lt;/script&gt;</v>
      </c>
      <c r="AA106" s="1" t="str">
        <f>CONCATENATE("var js",Table1[[#This Row],[IDs]]," = document.getElementbyId('drag",Table1[[#This Row],[IDs]],"').innerHTML; //  ",Table1[[#This Row],[Site]])</f>
        <v>var jsD31 = document.getElementbyId('dragD31').innerHTML; //  Dredging Operations Technical Support (DOTS)</v>
      </c>
    </row>
    <row r="107" spans="1:27" ht="15" x14ac:dyDescent="0.25">
      <c r="A107" t="s">
        <v>163</v>
      </c>
      <c r="B107" t="s">
        <v>163</v>
      </c>
      <c r="C107" s="2" t="s">
        <v>164</v>
      </c>
      <c r="D107" t="s">
        <v>702</v>
      </c>
      <c r="E107" t="s">
        <v>701</v>
      </c>
      <c r="F107" s="2" t="s">
        <v>415</v>
      </c>
      <c r="G107" s="2" t="s">
        <v>900</v>
      </c>
      <c r="H107" s="2" t="s">
        <v>552</v>
      </c>
      <c r="I107" s="2"/>
      <c r="J107" s="2"/>
      <c r="K107" s="2" t="s">
        <v>18</v>
      </c>
      <c r="L107" s="2"/>
      <c r="M107" s="2"/>
      <c r="N107" s="2"/>
      <c r="O107" s="2"/>
      <c r="P107" s="2"/>
      <c r="Q107" s="2"/>
      <c r="R107" s="2"/>
      <c r="S107" s="2"/>
      <c r="T107" s="2"/>
      <c r="U107" s="2"/>
      <c r="V107" s="2"/>
      <c r="W107" s="3" t="str">
        <f>CONCATENATE("var js",Table1[[#This Row],[IDs]]," = document.getElementbyId('",Table1[[#This Row],[IDs]],"').innerHTML; //  ",Table1[[#This Row],[Site]])</f>
        <v>var jsD17 = document.getElementbyId('D17').innerHTML; //  DS Login Registration</v>
      </c>
      <c r="X107" s="1" t="str">
        <f t="shared" si="6"/>
        <v xml:space="preserve">        &lt;!--DS Login Registration - https://myaccess.dmdc.osd.mil/identitymanagement/registration.do?execution=e1s1 --&gt;&lt;div class='column catAll catDod' style='margin-bottom: 0px;' id='D17'&gt;&lt;a href='https://myaccess.dmdc.osd.mil/identitymanagement/registration.do?execution=e1s1' rel='noopener noreferrer' class='column hideMarquee'&gt;&lt;div class='armyCardContainer card'&gt;&lt;div class='armyCard'&gt;&lt;div&gt;&lt;p class='marquee'&gt;Defense Self Service Logon makes it easy for you to access your information contained across DoD and VA partner websites. By signing up for a free account, you can view your financial and benefits information; Personally Identifiable Information (PII); personal Health Information (PHI); claim statuses and records.&lt;/p&gt;&lt;img src='assets/CaCRequired.png' title='A CAC is required to use some or all features of this site!' Class='cacLocked'&gt;&lt;img src='assets/Card-007.png' class='cardImage' loading='lazy'&gt;&lt;/div&gt;&lt;div class='title'&gt;
          &lt;span&gt;DS Login Registration&lt;/span&gt;&lt;/div&gt;&lt;/div&gt;&lt;/div&gt;&lt;/a&gt;&lt;/div&gt;&lt;script&gt;var jsD17 = document.getElementById('D17').innerHTML;&lt;/script&gt;</v>
      </c>
      <c r="Y10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DS Login Registration - https://myaccess.dmdc.osd.mil/identitymanagement/registration.do?execution=e1s1 --&gt;
      &lt;summary&gt;• &lt;a href='https://myaccess.dmdc.osd.mil/identitymanagement/registration.do?execution=e1s1' rel='noopener noreferrer'&gt;DS Login Registration - https://myaccess.dmdc.osd.mil/identitymanagement/registration.do?execution=e1s1&lt;/a&gt;&lt;/summary&gt;
      &lt;p&gt;Defense Self Service Logon makes it easy for you to access your information contained across DoD and VA partner websites. By signing up for a free account, you can view your financial and benefits information; Personally Identifiable Information (PII); personal Health Information (PHI); claim statuses and records.&lt;/p&gt;
    &lt;/details&gt;</v>
      </c>
      <c r="Z107" s="1" t="str">
        <f t="shared" si="4"/>
        <v xml:space="preserve">          &lt;!-- DS Login Registration - https://myaccess.dmdc.osd.mil/identitymanagement/registration.do?execution=e1s1 --&gt;&lt;div id='dragD17' class='catAll catDod'&gt;&lt;div class='column hideMarquee' draggable='true' ondragstart='drag(event)' value='D17' id='D17'&gt;&lt;div class='armyCardContainer ssCard'&gt;&lt;div class='ssArmyCard'&gt;&lt;div&gt;&lt;p class='marquee'&gt;Defense Self Service Logon makes it easy for you to access your information contained across DoD and VA partner websites. By signing up for a free account, you can view your financial and benefits information; Personally Identifiable Information (PII); personal Health Information (PHI); claim statuses and records.&lt;/p&gt;&lt;img src='assets/Card-007.png' class='ssCardImage' draggable='false' loading='lazy'&gt;&lt;/div&gt;&lt;div class='ssTitle'&gt;&lt;span id='D17Title'&gt;DS Login Registration&lt;/span&gt;&lt;/div&gt;&lt;/div&gt;&lt;/div&gt;&lt;/div&gt;&lt;/div&gt;&lt;script&gt;var jsD17 = document.getElementById('dragD17').innerHTML;&lt;/script&gt;</v>
      </c>
      <c r="AA107" s="1" t="str">
        <f>CONCATENATE("var js",Table1[[#This Row],[IDs]]," = document.getElementbyId('drag",Table1[[#This Row],[IDs]],"').innerHTML; //  ",Table1[[#This Row],[Site]])</f>
        <v>var jsD17 = document.getElementbyId('dragD17').innerHTML; //  DS Login Registration</v>
      </c>
    </row>
    <row r="108" spans="1:27" ht="15" x14ac:dyDescent="0.25">
      <c r="A108" t="s">
        <v>166</v>
      </c>
      <c r="B108" t="s">
        <v>166</v>
      </c>
      <c r="C108" s="2" t="s">
        <v>167</v>
      </c>
      <c r="D108" t="s">
        <v>704</v>
      </c>
      <c r="E108" t="s">
        <v>703</v>
      </c>
      <c r="F108" s="2" t="s">
        <v>168</v>
      </c>
      <c r="G108" s="2" t="s">
        <v>900</v>
      </c>
      <c r="H108" s="2" t="s">
        <v>900</v>
      </c>
      <c r="I108" s="2"/>
      <c r="J108" s="2"/>
      <c r="K108" s="2"/>
      <c r="L108" s="2"/>
      <c r="M108" s="2" t="s">
        <v>18</v>
      </c>
      <c r="N108" s="2"/>
      <c r="O108" s="2"/>
      <c r="P108" s="2"/>
      <c r="Q108" s="2"/>
      <c r="R108" s="2"/>
      <c r="S108" s="2"/>
      <c r="T108" s="2"/>
      <c r="U108" s="2" t="s">
        <v>18</v>
      </c>
      <c r="V108" s="2"/>
      <c r="W108" s="3" t="str">
        <f>CONCATENATE("var js",Table1[[#This Row],[IDs]]," = document.getElementbyId('",Table1[[#This Row],[IDs]],"').innerHTML; //  ",Table1[[#This Row],[Site]])</f>
        <v>var jsE00 = document.getElementbyId('E00').innerHTML; //  EagleCash</v>
      </c>
      <c r="X108" s="1" t="str">
        <f t="shared" si="6"/>
        <v xml:space="preserve">        &lt;!--EagleCash - https://fiscal.treasury.gov/eaglecash/ --&gt;&lt;div class='column catAll catFinance catUsGov' style='margin-bottom: 0px;' id='E00'&gt;&lt;a href='https://fiscal.treasury.gov/eaglecash/' rel='noopener noreferrer' class='column hideMarquee'&gt;&lt;div class='armyCardContainer card'&gt;&lt;div class='armyCard'&gt;&lt;div&gt;&lt;p class='marquee'&gt;The EagleCash card is an alternative to cash, Debit cards, credit cards, and checks. EagleCash is a 'stored value card' that serves as a cash management tool. Funds are loaded to an EagleCash card, linked to the cardholder's personal account at a financial institution, using a self-service kiosk. Funds may be added or removed from the card at any time.&lt;/p&gt;&lt;img src='assets/Card-014.png' class='cardImage' loading='lazy'&gt;&lt;/div&gt;&lt;div class='title'&gt;
          &lt;span&gt;EagleCash&lt;/span&gt;&lt;/div&gt;&lt;/div&gt;&lt;/div&gt;&lt;/a&gt;&lt;/div&gt;&lt;script&gt;var jsE00 = document.getElementById('E00').innerHTML;&lt;/script&gt;</v>
      </c>
      <c r="Y10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EagleCash - https://fiscal.treasury.gov/eaglecash/ --&gt;
      &lt;summary&gt;• &lt;a href='https://fiscal.treasury.gov/eaglecash/' rel='noopener noreferrer'&gt;EagleCash - https://fiscal.treasury.gov/eaglecash/&lt;/a&gt;&lt;/summary&gt;
      &lt;p&gt;The EagleCash card is an alternative to cash, Debit cards, credit cards, and checks. EagleCash is a 'stored value card' that serves as a cash management tool. Funds are loaded to an EagleCash card, linked to the cardholder's personal account at a financial institution, using a self-service kiosk. Funds may be added or removed from the card at any time.&lt;/p&gt;
    &lt;/details&gt;</v>
      </c>
      <c r="Z108" s="1" t="str">
        <f t="shared" si="4"/>
        <v xml:space="preserve">          &lt;!-- EagleCash - https://fiscal.treasury.gov/eaglecash/ --&gt;&lt;div id='dragE00' class='catAll catFinance catUsGov'&gt;&lt;div class='column hideMarquee' draggable='true' ondragstart='drag(event)' value='E00' id='E00'&gt;&lt;div class='armyCardContainer ssCard'&gt;&lt;div class='ssArmyCard'&gt;&lt;div&gt;&lt;p class='marquee'&gt;The EagleCash card is an alternative to cash, Debit cards, credit cards, and checks. EagleCash is a 'stored value card' that serves as a cash management tool. Funds are loaded to an EagleCash card, linked to the cardholder's personal account at a financial institution, using a self-service kiosk. Funds may be added or removed from the card at any time.&lt;/p&gt;&lt;img src='assets/Card-014.png' class='ssCardImage' draggable='false' loading='lazy'&gt;&lt;/div&gt;&lt;div class='ssTitle'&gt;&lt;span id='E00Title'&gt;EagleCash&lt;/span&gt;&lt;/div&gt;&lt;/div&gt;&lt;/div&gt;&lt;/div&gt;&lt;/div&gt;&lt;script&gt;var jsE00 = document.getElementById('dragE00').innerHTML;&lt;/script&gt;</v>
      </c>
      <c r="AA108" s="1" t="str">
        <f>CONCATENATE("var js",Table1[[#This Row],[IDs]]," = document.getElementbyId('drag",Table1[[#This Row],[IDs]],"').innerHTML; //  ",Table1[[#This Row],[Site]])</f>
        <v>var jsE00 = document.getElementbyId('dragE00').innerHTML; //  EagleCash</v>
      </c>
    </row>
    <row r="109" spans="1:27" ht="15" x14ac:dyDescent="0.25">
      <c r="A109" t="s">
        <v>169</v>
      </c>
      <c r="B109" t="s">
        <v>169</v>
      </c>
      <c r="C109" s="10" t="s">
        <v>170</v>
      </c>
      <c r="D109" t="s">
        <v>706</v>
      </c>
      <c r="E109" t="s">
        <v>705</v>
      </c>
      <c r="F109" s="2" t="s">
        <v>171</v>
      </c>
      <c r="G109" s="2" t="s">
        <v>900</v>
      </c>
      <c r="H109" s="2" t="s">
        <v>552</v>
      </c>
      <c r="I109" s="2"/>
      <c r="J109" s="2"/>
      <c r="K109" s="2"/>
      <c r="L109" s="2"/>
      <c r="M109" s="2"/>
      <c r="N109" s="2" t="s">
        <v>18</v>
      </c>
      <c r="O109" s="2" t="s">
        <v>18</v>
      </c>
      <c r="P109" s="2"/>
      <c r="Q109" s="2"/>
      <c r="R109" s="2"/>
      <c r="S109" s="2"/>
      <c r="T109" s="2"/>
      <c r="U109" s="2"/>
      <c r="V109" s="2"/>
      <c r="W109" s="3" t="str">
        <f>CONCATENATE("var js",Table1[[#This Row],[IDs]]," = document.getElementbyId('",Table1[[#This Row],[IDs]],"').innerHTML; //  ",Table1[[#This Row],[Site]])</f>
        <v>var jsE01 = document.getElementbyId('E01').innerHTML; //  eBenefits</v>
      </c>
      <c r="X109" s="1" t="str">
        <f t="shared" si="6"/>
        <v xml:space="preserve">        &lt;!--eBenefits - https://www.ebenefits.va.gov/ebenefits --&gt;&lt;div class='column catAll catHealth catHuman' style='margin-bottom: 0px;' id='E01'&gt;&lt;a href='https://www.ebenefits.va.gov/ebenefits' rel='noopener noreferrer' class='column hideMarquee'&gt;&lt;div class='armyCardContainer card'&gt;&lt;div class='armyCard'&gt;&lt;div&gt;&lt;p class='marquee'&gt;eBenefits is the result of a collaboration between the Department of Veterans Affairs (VA) and the Department of Defense (DoD). We serve Veterans, Service members, Wounded Warriors, their family members, and their authorized caregivers. They offer: &lt;br&gt; A secure environment where you can safely access your personal information and perform self-service tasks.&lt;br&gt;Applications (online and PDF) for disability compensation and various benefits.&lt;br&gt; Employment resources.&lt;br&gt;A personalized Dashboard that you can customize to suit your preferences and information needs.&lt;br&gt;Access to the National Resource Directory, which enables you to find links to resource based on subjects that interest you.&lt;/p&gt;&lt;img src='assets/CaCRequired.png' title='A CAC is required to use some or all features of this site!' Class='cacLocked'&gt;&lt;img src='assets/Card-051.png' class='cardImage' loading='lazy'&gt;&lt;/div&gt;&lt;div class='title'&gt;
          &lt;span&gt;eBenefits&lt;/span&gt;&lt;/div&gt;&lt;/div&gt;&lt;/div&gt;&lt;/a&gt;&lt;/div&gt;&lt;script&gt;var jsE01 = document.getElementById('E01').innerHTML;&lt;/script&gt;</v>
      </c>
      <c r="Y10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eBenefits - https://www.ebenefits.va.gov/ebenefits --&gt;
      &lt;summary&gt;• &lt;a href='https://www.ebenefits.va.gov/ebenefits' rel='noopener noreferrer'&gt;eBenefits - https://www.ebenefits.va.gov/ebenefits&lt;/a&gt;&lt;/summary&gt;
      &lt;p&gt;eBenefits is the result of a collaboration between the Department of Veterans Affairs (VA) and the Department of Defense (DoD). We serve Veterans, Service members, Wounded Warriors, their family members, and their authorized caregivers. They offer: &lt;br&gt; A secure environment where you can safely access your personal information and perform self-service tasks.&lt;br&gt;Applications (online and PDF) for disability compensation and various benefits.&lt;br&gt; Employment resources.&lt;br&gt;A personalized Dashboard that you can customize to suit your preferences and information needs.&lt;br&gt;Access to the National Resource Directory, which enables you to find links to resource based on subjects that interest you.&lt;/p&gt;
    &lt;/details&gt;</v>
      </c>
      <c r="Z109" s="1" t="str">
        <f t="shared" si="4"/>
        <v xml:space="preserve">          &lt;!-- eBenefits - https://www.ebenefits.va.gov/ebenefits --&gt;&lt;div id='dragE01' class='catAll catHealth catHuman'&gt;&lt;div class='column hideMarquee' draggable='true' ondragstart='drag(event)' value='E01' id='E01'&gt;&lt;div class='armyCardContainer ssCard'&gt;&lt;div class='ssArmyCard'&gt;&lt;div&gt;&lt;p class='marquee'&gt;eBenefits is the result of a collaboration between the Department of Veterans Affairs (VA) and the Department of Defense (DoD). We serve Veterans, Service members, Wounded Warriors, their family members, and their authorized caregivers. They offer: &lt;br&gt; A secure environment where you can safely access your personal information and perform self-service tasks.&lt;br&gt;Applications (online and PDF) for disability compensation and various benefits.&lt;br&gt; Employment resources.&lt;br&gt;A personalized Dashboard that you can customize to suit your preferences and information needs.&lt;br&gt;Access to the National Resource Directory, which enables you to find links to resource based on subjects that interest you.&lt;/p&gt;&lt;img src='assets/Card-051.png' class='ssCardImage' draggable='false' loading='lazy'&gt;&lt;/div&gt;&lt;div class='ssTitle'&gt;&lt;span id='E01Title'&gt;eBenefits&lt;/span&gt;&lt;/div&gt;&lt;/div&gt;&lt;/div&gt;&lt;/div&gt;&lt;/div&gt;&lt;script&gt;var jsE01 = document.getElementById('dragE01').innerHTML;&lt;/script&gt;</v>
      </c>
      <c r="AA109" s="1" t="str">
        <f>CONCATENATE("var js",Table1[[#This Row],[IDs]]," = document.getElementbyId('drag",Table1[[#This Row],[IDs]],"').innerHTML; //  ",Table1[[#This Row],[Site]])</f>
        <v>var jsE01 = document.getElementbyId('dragE01').innerHTML; //  eBenefits</v>
      </c>
    </row>
    <row r="110" spans="1:27" ht="15" hidden="1" x14ac:dyDescent="0.25">
      <c r="A110" t="s">
        <v>172</v>
      </c>
      <c r="B110" t="s">
        <v>172</v>
      </c>
      <c r="C110" s="10" t="s">
        <v>173</v>
      </c>
      <c r="D110" t="s">
        <v>708</v>
      </c>
      <c r="E110" t="s">
        <v>707</v>
      </c>
      <c r="F110" s="2" t="s">
        <v>176</v>
      </c>
      <c r="G110" s="2"/>
      <c r="H110" s="2"/>
      <c r="I110" s="2"/>
      <c r="J110" s="2"/>
      <c r="K110" s="2"/>
      <c r="L110" s="2"/>
      <c r="M110" s="2"/>
      <c r="N110" s="2"/>
      <c r="O110" s="2" t="s">
        <v>18</v>
      </c>
      <c r="P110" s="2"/>
      <c r="Q110" s="2"/>
      <c r="R110" s="2"/>
      <c r="S110" s="2"/>
      <c r="T110" s="2"/>
      <c r="U110" s="2"/>
      <c r="V110" s="2"/>
      <c r="W110" s="3" t="str">
        <f>CONCATENATE("var js",Table1[[#This Row],[IDs]]," = document.getElementbyId('",Table1[[#This Row],[IDs]],"').innerHTML; //  ",Table1[[#This Row],[Site]])</f>
        <v>var jsE02 = document.getElementbyId('E02').innerHTML; //  electronic Financial Liability Investigations of Property Loss</v>
      </c>
      <c r="X110" s="1" t="str">
        <f>CONCATENATE("        &lt;!--",A110," - ",C110," --&gt;&lt;div class='column catAll",IF(I110="X"," catArmySites",""),IF(J110="X"," catCombatReadiness",""),IF(K110="X"," catDod",""),IF(L110="X"," catFamily",""),IF(M110="X"," catFinance",""),IF(N110="X"," catHealth",""),IF(O110="X"," catHuman",""),IF(P110="X"," catLegal",""),IF(Q110="X"," catProDev",""),IF(R110="X"," catTech",""),IF(S110="X"," catMilEd",""),IF(T110="X"," catCivEd",""),IF(U110="X"," catUsGov",""),"' style='margin-bottom: 0px;' id='",F110,"'&gt;&lt;a href='",C110,"' rel='noopener noreferrer' class='column hideMarquee'&gt;&lt;div class='armyCardContainer card'&gt;&lt;div class='armyCard'&gt;&lt;div&gt;&lt;p class='marquee'&gt;",E110,"&lt;/p&gt;",IF(H110="Yes","&lt;img src='assets/CaCRequired.png' title='A CAC is required to use some or all features of this site!' Class='cacLocked'&gt;",""),IF(G110="Yes","&lt;img src='assets/DODlock.png' title='This Site requires a DoD network connection to be used!' Class='dodLocked'&gt;",""),"&lt;img src='assets/",D110,"' class='cardImage' loading='lazy'&gt;&lt;/div&gt;&lt;div class='title'&gt;&lt;span&gt;",A110,"&lt;/span&gt;&lt;/div&gt;&lt;/div&gt;&lt;/div&gt;&lt;/a&gt;&lt;/div&gt;&lt;script&gt;var js",F110," = document.getElementbyId('",F110,"').innerHTML;&lt;/script&gt;")</f>
        <v xml:space="preserve">        &lt;!--electronic Financial Liability Investigations of Property Loss - https://eflipl.army.mil --&gt;&lt;div class='column catAll catHuman' style='margin-bottom: 0px;' id='E02'&gt;&lt;a href='https://eflipl.army.mil' rel='noopener noreferrer' class='column hideMarquee'&gt;&lt;div class='armyCardContainer card'&gt;&lt;div class='armyCard'&gt;&lt;div&gt;&lt;p class='marquee'&gt;Financial Liability Investigation of Property Loss, or FLIPL, is the procedure the Army uses to recover the cost of lost or damaged property. However, in certain cases, such as the loss of personal arms or equipment, or damage to government housing, a Soldier can be held liable for the entire loss.&lt;/p&gt;&lt;img src='assets/Card-118.jpg' class='cardImage' loading='lazy'&gt;&lt;/div&gt;&lt;div class='title'&gt;&lt;span&gt;electronic Financial Liability Investigations of Property Loss&lt;/span&gt;&lt;/div&gt;&lt;/div&gt;&lt;/div&gt;&lt;/a&gt;&lt;/div&gt;&lt;script&gt;var jsE02 = document.getElementbyId('E02').innerHTML;&lt;/script&gt;</v>
      </c>
      <c r="Y11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electronic Financial Liability Investigations of Property Loss - https://eflipl.army.mil --&gt;
      &lt;summary&gt;• &lt;a href='https://eflipl.army.mil' rel='noopener noreferrer'&gt;electronic Financial Liability Investigations of Property Loss - https://eflipl.army.mil&lt;/a&gt;&lt;/summary&gt;
      &lt;p&gt;Financial Liability Investigation of Property Loss, or FLIPL, is the procedure the Army uses to recover the cost of lost or damaged property. However, in certain cases, such as the loss of personal arms or equipment, or damage to government housing, a Soldier can be held liable for the entire loss.&lt;/p&gt;
    &lt;/details&gt;</v>
      </c>
      <c r="Z110" s="1" t="str">
        <f t="shared" si="4"/>
        <v xml:space="preserve">          &lt;!-- electronic Financial Liability Investigations of Property Loss - https://eflipl.army.mil --&gt;&lt;div id='dragE02' class='catAll catHuman'&gt;&lt;div class='column hideMarquee' draggable='true' ondragstart='drag(event)' value='E02' id='E02'&gt;&lt;div class='armyCardContainer ssCard'&gt;&lt;div class='ssArmyCard'&gt;&lt;div&gt;&lt;p class='marquee'&gt;Financial Liability Investigation of Property Loss, or FLIPL, is the procedure the Army uses to recover the cost of lost or damaged property. However, in certain cases, such as the loss of personal arms or equipment, or damage to government housing, a Soldier can be held liable for the entire loss.&lt;/p&gt;&lt;img src='assets/Card-118.jpg' class='ssCardImage' draggable='false' loading='lazy'&gt;&lt;/div&gt;&lt;div class='ssTitle'&gt;&lt;span id='E02Title'&gt;electronic Financial Liability Investigations of Property Loss&lt;/span&gt;&lt;/div&gt;&lt;/div&gt;&lt;/div&gt;&lt;/div&gt;&lt;/div&gt;&lt;script&gt;var jsE02 = document.getElementById('dragE02').innerHTML;&lt;/script&gt;</v>
      </c>
      <c r="AA110" s="1" t="str">
        <f>CONCATENATE("var js",Table1[[#This Row],[IDs]]," = document.getElementbyId('drag",Table1[[#This Row],[IDs]],"').innerHTML; //  ",Table1[[#This Row],[Site]])</f>
        <v>var jsE02 = document.getElementbyId('dragE02').innerHTML; //  electronic Financial Liability Investigations of Property Loss</v>
      </c>
    </row>
    <row r="111" spans="1:27" ht="15" x14ac:dyDescent="0.25">
      <c r="A111" t="s">
        <v>174</v>
      </c>
      <c r="B111" t="s">
        <v>1060</v>
      </c>
      <c r="C111" s="2" t="s">
        <v>175</v>
      </c>
      <c r="D111" t="s">
        <v>709</v>
      </c>
      <c r="E111" t="s">
        <v>1061</v>
      </c>
      <c r="F111" s="2" t="s">
        <v>179</v>
      </c>
      <c r="G111" s="2" t="s">
        <v>900</v>
      </c>
      <c r="H111" s="2" t="s">
        <v>552</v>
      </c>
      <c r="I111" s="2"/>
      <c r="J111" s="2"/>
      <c r="K111" s="2"/>
      <c r="L111" s="2"/>
      <c r="M111" s="2"/>
      <c r="N111" s="2"/>
      <c r="O111" s="2" t="s">
        <v>18</v>
      </c>
      <c r="P111" s="2"/>
      <c r="Q111" s="2"/>
      <c r="R111" s="2"/>
      <c r="S111" s="2"/>
      <c r="T111" s="2"/>
      <c r="U111" s="2"/>
      <c r="V111" s="2" t="s">
        <v>18</v>
      </c>
      <c r="W111" s="3" t="str">
        <f>CONCATENATE("var js",Table1[[#This Row],[IDs]]," = document.getElementbyId('",Table1[[#This Row],[IDs]],"').innerHTML; //  ",Table1[[#This Row],[Site]])</f>
        <v>var jsE03 = document.getElementbyId('E03').innerHTML; //  eMILPO</v>
      </c>
      <c r="X111" s="1" t="str">
        <f t="shared" ref="X111:X122" si="7">CONCATENATE("        &lt;!--",A111," - ",C111," --&gt;&lt;div class='column catAll",IF(I111="X"," catArmySites",""),IF(J111="X"," catCombatReadiness",""),IF(K111="X"," catDod",""),IF(L111="X"," catFamily",""),IF(M111="X"," catFinance",""),IF(N111="X"," catHealth",""),IF(O111="X"," catHuman",""),IF(P111="X"," catLegal",""),IF(Q111="X"," catProDev",""),IF(R111="X"," catTech",""),IF(S111="X"," catMilEd",""),IF(T111="X"," catCivEd",""),IF(U111="X"," catUsGov",""),"' style='margin-bottom: 0px;' id='",F111,"'&gt;&lt;a href='",C111,"' rel='noopener noreferrer' class='column hideMarquee'&gt;&lt;div class='armyCardContainer card'&gt;&lt;div class='armyCard'&gt;&lt;div&gt;&lt;p class='marquee'&gt;",E111,"&lt;/p&gt;",IF(H111="Yes","&lt;img src='assets/CaCRequired.png' title='A CAC is required to use some or all features of this site!' Class='cacLocked'&gt;",""),IF(G111="Yes","&lt;img src='assets/DODlock.png' title='This Site requires a DoD network connection to be used!' Class='dodLocked'&gt;",""),"&lt;img src='assets/",D111,"' class='cardImage' loading='lazy'&gt;&lt;/div&gt;&lt;div class='title'&gt;
          &lt;span&gt;",A111,"&lt;/span&gt;&lt;/div&gt;&lt;/div&gt;&lt;/div&gt;&lt;/a&gt;&lt;/div&gt;&lt;script&gt;var js",F111," = document.getElementById('",F111,"').innerHTML;&lt;/script&gt;")</f>
        <v xml:space="preserve">        &lt;!--eMILPO - https://emilpo.ahrs.army.mil/ --&gt;&lt;div class='column catAll catHuman' style='margin-bottom: 0px;' id='E03'&gt;&lt;a href='https://emilpo.ahrs.army.mil/' rel='noopener noreferrer' class='column hideMarquee'&gt;&lt;div class='armyCardContainer card'&gt;&lt;div class='armyCard'&gt;&lt;div&gt;&lt;p class='marquee'&gt;This is a Legacy Card, Some or all of its funcions may no longer be avalible.&lt;br&gt;eMILPO is the system of records for Army personnel and keeps track of all Soldiers within a particular unit, keeps track of Soldiers' individual records, and in general houses every Soldier's record in the active duty Army&lt;/p&gt;&lt;img src='assets/CaCRequired.png' title='A CAC is required to use some or all features of this site!' Class='cacLocked'&gt;&lt;img src='assets/Card-088.png' class='cardImage' loading='lazy'&gt;&lt;/div&gt;&lt;div class='title'&gt;
          &lt;span&gt;eMILPO&lt;/span&gt;&lt;/div&gt;&lt;/div&gt;&lt;/div&gt;&lt;/a&gt;&lt;/div&gt;&lt;script&gt;var jsE03 = document.getElementById('E03').innerHTML;&lt;/script&gt;</v>
      </c>
      <c r="Y11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eMILPO - https://emilpo.ahrs.army.mil/ --&gt;
      &lt;summary&gt;• &lt;a href='https://emilpo.ahrs.army.mil/' rel='noopener noreferrer'&gt;eMILPO - https://emilpo.ahrs.army.mil/&lt;/a&gt;&lt;/summary&gt;
      &lt;p&gt;This is a Legacy Card, Some or all of its funcions may no longer be avalible.&lt;br&gt;eMILPO is the system of records for Army personnel and keeps track of all Soldiers within a particular unit, keeps track of Soldiers' individual records, and in general houses every Soldier's record in the active duty Army&lt;/p&gt;
    &lt;/details&gt;</v>
      </c>
      <c r="Z111" s="1" t="str">
        <f t="shared" si="4"/>
        <v xml:space="preserve">          &lt;!-- eMILPO (LEGACY) - https://emilpo.ahrs.army.mil/ --&gt;&lt;div id='dragE03' class='catAll catHuman'&gt;&lt;div class='column hideMarquee' draggable='true' ondragstart='drag(event)' value='E03' id='E03'&gt;&lt;div class='armyCardContainer ssCard'&gt;&lt;div class='ssArmyCard'&gt;&lt;div&gt;&lt;p class='marquee'&gt;This is a Legacy Card, Some or all of its funcions may no longer be avalible.&lt;br&gt;eMILPO is the system of records for Army personnel and keeps track of all Soldiers within a particular unit, keeps track of Soldiers' individual records, and in general houses every Soldier's record in the active duty Army&lt;/p&gt;&lt;img src='assets/Card-088.png' class='ssCardImage' draggable='false' loading='lazy'&gt;&lt;/div&gt;&lt;div class='ssTitle'&gt;&lt;span id='E03Title'&gt;eMILPO&lt;/span&gt;&lt;/div&gt;&lt;/div&gt;&lt;/div&gt;&lt;/div&gt;&lt;/div&gt;&lt;script&gt;var jsE03 = document.getElementById('dragE03').innerHTML;&lt;/script&gt;</v>
      </c>
      <c r="AA111" s="1" t="str">
        <f>CONCATENATE("var js",Table1[[#This Row],[IDs]]," = document.getElementbyId('drag",Table1[[#This Row],[IDs]],"').innerHTML; //  ",Table1[[#This Row],[Site]])</f>
        <v>var jsE03 = document.getElementbyId('dragE03').innerHTML; //  eMILPO</v>
      </c>
    </row>
    <row r="112" spans="1:27" ht="15" x14ac:dyDescent="0.25">
      <c r="A112" s="1" t="s">
        <v>905</v>
      </c>
      <c r="B112" s="1" t="s">
        <v>905</v>
      </c>
      <c r="C112" s="2" t="s">
        <v>903</v>
      </c>
      <c r="D112" t="s">
        <v>606</v>
      </c>
      <c r="E112" s="1" t="s">
        <v>987</v>
      </c>
      <c r="F112" s="2" t="s">
        <v>943</v>
      </c>
      <c r="G112" s="2" t="s">
        <v>900</v>
      </c>
      <c r="H112" s="2" t="s">
        <v>552</v>
      </c>
      <c r="I112" s="2"/>
      <c r="J112" s="2"/>
      <c r="K112" s="2"/>
      <c r="L112" s="2"/>
      <c r="M112" s="2"/>
      <c r="N112" s="2"/>
      <c r="O112" s="2" t="s">
        <v>18</v>
      </c>
      <c r="P112" s="2"/>
      <c r="Q112" s="2" t="s">
        <v>18</v>
      </c>
      <c r="R112" s="2"/>
      <c r="S112" s="2"/>
      <c r="T112" s="2"/>
      <c r="U112" s="2"/>
      <c r="V112" s="2"/>
      <c r="W112" s="3" t="str">
        <f>CONCATENATE("var js",Table1[[#This Row],[IDs]]," = document.getElementbyId('",Table1[[#This Row],[IDs]],"').innerHTML; //  ",Table1[[#This Row],[Site]])</f>
        <v>var jsE05 = document.getElementbyId('E05').innerHTML; //  Enlisted Promotions</v>
      </c>
      <c r="X112" s="1" t="str">
        <f t="shared" si="7"/>
        <v xml:space="preserve">        &lt;!--Enlisted Promotions - https://www.hrc.army.mil/content/Enlisted%20Promotions --&gt;&lt;div class='column catAll catHuman catProDev' style='margin-bottom: 0px;' id='E05'&gt;&lt;a href='https://www.hrc.army.mil/content/Enlisted%20Promotions' rel='noopener noreferrer' class='column hideMarquee'&gt;&lt;div class='armyCardContainer card'&gt;&lt;div class='armyCard'&gt;&lt;div&gt;&lt;p class='marquee'&gt;HRC's enlisted promotions page. Go here to find out the details on the enlisted promotion process.&lt;/p&gt;&lt;img src='assets/CaCRequired.png' title='A CAC is required to use some or all features of this site!' Class='cacLocked'&gt;&lt;img src='assets/Card-060.png' class='cardImage' loading='lazy'&gt;&lt;/div&gt;&lt;div class='title'&gt;
          &lt;span&gt;Enlisted Promotions&lt;/span&gt;&lt;/div&gt;&lt;/div&gt;&lt;/div&gt;&lt;/a&gt;&lt;/div&gt;&lt;script&gt;var jsE05 = document.getElementById('E05').innerHTML;&lt;/script&gt;</v>
      </c>
      <c r="Y11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Enlisted Promotions - https://www.hrc.army.mil/content/Enlisted%20Promotions --&gt;
      &lt;summary&gt;• &lt;a href='https://www.hrc.army.mil/content/Enlisted%20Promotions' rel='noopener noreferrer'&gt;Enlisted Promotions - https://www.hrc.army.mil/content/Enlisted%20Promotions&lt;/a&gt;&lt;/summary&gt;
      &lt;p&gt;HRC's enlisted promotions page. Go here to find out the details on the enlisted promotion process.&lt;/p&gt;
    &lt;/details&gt;</v>
      </c>
      <c r="Z112" s="1" t="str">
        <f t="shared" si="4"/>
        <v xml:space="preserve">          &lt;!-- Enlisted Promotions - https://www.hrc.army.mil/content/Enlisted%20Promotions --&gt;&lt;div id='dragE05' class='catAll catHuman catProDev'&gt;&lt;div class='column hideMarquee' draggable='true' ondragstart='drag(event)' value='E05' id='E05'&gt;&lt;div class='armyCardContainer ssCard'&gt;&lt;div class='ssArmyCard'&gt;&lt;div&gt;&lt;p class='marquee'&gt;HRC's enlisted promotions page. Go here to find out the details on the enlisted promotion process.&lt;/p&gt;&lt;img src='assets/Card-060.png' class='ssCardImage' draggable='false' loading='lazy'&gt;&lt;/div&gt;&lt;div class='ssTitle'&gt;&lt;span id='E05Title'&gt;Enlisted Promotions&lt;/span&gt;&lt;/div&gt;&lt;/div&gt;&lt;/div&gt;&lt;/div&gt;&lt;/div&gt;&lt;script&gt;var jsE05 = document.getElementById('dragE05').innerHTML;&lt;/script&gt;</v>
      </c>
      <c r="AA112" s="1" t="str">
        <f>CONCATENATE("var js",Table1[[#This Row],[IDs]]," = document.getElementbyId('drag",Table1[[#This Row],[IDs]],"').innerHTML; //  ",Table1[[#This Row],[Site]])</f>
        <v>var jsE05 = document.getElementbyId('dragE05').innerHTML; //  Enlisted Promotions</v>
      </c>
    </row>
    <row r="113" spans="1:27" ht="15" x14ac:dyDescent="0.25">
      <c r="A113" s="1" t="s">
        <v>901</v>
      </c>
      <c r="B113" s="1" t="s">
        <v>901</v>
      </c>
      <c r="C113" s="2" t="s">
        <v>906</v>
      </c>
      <c r="D113" t="s">
        <v>606</v>
      </c>
      <c r="E113" s="1" t="s">
        <v>984</v>
      </c>
      <c r="F113" s="2" t="s">
        <v>1013</v>
      </c>
      <c r="G113" s="2" t="s">
        <v>900</v>
      </c>
      <c r="H113" s="2" t="s">
        <v>552</v>
      </c>
      <c r="I113" s="2"/>
      <c r="J113" s="2"/>
      <c r="K113" s="2"/>
      <c r="L113" s="2"/>
      <c r="M113" s="2"/>
      <c r="N113" s="2"/>
      <c r="O113" s="2" t="s">
        <v>18</v>
      </c>
      <c r="P113" s="2"/>
      <c r="Q113" s="2" t="s">
        <v>18</v>
      </c>
      <c r="R113" s="2"/>
      <c r="S113" s="2"/>
      <c r="T113" s="2"/>
      <c r="U113" s="2"/>
      <c r="V113" s="2"/>
      <c r="W113" s="3" t="str">
        <f>CONCATENATE("var js",Table1[[#This Row],[IDs]]," = document.getElementbyId('",Table1[[#This Row],[IDs]],"').innerHTML; //  ",Table1[[#This Row],[Site]])</f>
        <v>var jsE06 = document.getElementbyId('E06').innerHTML; //  Enlisted Trend Report (E5-E6)</v>
      </c>
      <c r="X113" s="1" t="str">
        <f t="shared" si="7"/>
        <v xml:space="preserve">        &lt;!--Enlisted Trend Report (E5-E6) - https://www.hrc.army.mil/content/Sergeant%20and%20Staff%20Sergeant%20Eligibles%20Trend%20Report --&gt;&lt;div class='column catAll catHuman catProDev' style='margin-bottom: 0px;' id='E06'&gt;&lt;a href='https://www.hrc.army.mil/content/Sergeant%20and%20Staff%20Sergeant%20Eligibles%20Trend%20Report' rel='noopener noreferrer' class='column hideMarquee'&gt;&lt;div class='armyCardContainer card'&gt;&lt;div class='armyCard'&gt;&lt;div&gt;&lt;p class='marquee'&gt;The Trend Report shows how many soldiers are each promotion point bracket. This is usefull to gadge where you are on the order of merit list.&lt;/p&gt;&lt;img src='assets/CaCRequired.png' title='A CAC is required to use some or all features of this site!' Class='cacLocked'&gt;&lt;img src='assets/Card-060.png' class='cardImage' loading='lazy'&gt;&lt;/div&gt;&lt;div class='title'&gt;
          &lt;span&gt;Enlisted Trend Report (E5-E6)&lt;/span&gt;&lt;/div&gt;&lt;/div&gt;&lt;/div&gt;&lt;/a&gt;&lt;/div&gt;&lt;script&gt;var jsE06 = document.getElementById('E06').innerHTML;&lt;/script&gt;</v>
      </c>
      <c r="Y11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Enlisted Trend Report (E5-E6) - https://www.hrc.army.mil/content/Sergeant%20and%20Staff%20Sergeant%20Eligibles%20Trend%20Report --&gt;
      &lt;summary&gt;• &lt;a href='https://www.hrc.army.mil/content/Sergeant%20and%20Staff%20Sergeant%20Eligibles%20Trend%20Report' rel='noopener noreferrer'&gt;Enlisted Trend Report (E5-E6) - https://www.hrc.army.mil/content/Sergeant%20and%20Staff%20Sergeant%20Eligibles%20Trend%20Report&lt;/a&gt;&lt;/summary&gt;
      &lt;p&gt;The Trend Report shows how many soldiers are each promotion point bracket. This is usefull to gadge where you are on the order of merit list.&lt;/p&gt;
    &lt;/details&gt;</v>
      </c>
      <c r="Z113" s="1" t="str">
        <f t="shared" si="4"/>
        <v xml:space="preserve">          &lt;!-- Enlisted Trend Report (E5-E6) - https://www.hrc.army.mil/content/Sergeant%20and%20Staff%20Sergeant%20Eligibles%20Trend%20Report --&gt;&lt;div id='dragE06' class='catAll catHuman catProDev'&gt;&lt;div class='column hideMarquee' draggable='true' ondragstart='drag(event)' value='E06' id='E06'&gt;&lt;div class='armyCardContainer ssCard'&gt;&lt;div class='ssArmyCard'&gt;&lt;div&gt;&lt;p class='marquee'&gt;The Trend Report shows how many soldiers are each promotion point bracket. This is usefull to gadge where you are on the order of merit list.&lt;/p&gt;&lt;img src='assets/Card-060.png' class='ssCardImage' draggable='false' loading='lazy'&gt;&lt;/div&gt;&lt;div class='ssTitle'&gt;&lt;span id='E06Title'&gt;Enlisted Trend Report (E5-E6)&lt;/span&gt;&lt;/div&gt;&lt;/div&gt;&lt;/div&gt;&lt;/div&gt;&lt;/div&gt;&lt;script&gt;var jsE06 = document.getElementById('dragE06').innerHTML;&lt;/script&gt;</v>
      </c>
      <c r="AA113" s="1" t="str">
        <f>CONCATENATE("var js",Table1[[#This Row],[IDs]]," = document.getElementbyId('drag",Table1[[#This Row],[IDs]],"').innerHTML; //  ",Table1[[#This Row],[Site]])</f>
        <v>var jsE06 = document.getElementbyId('dragE06').innerHTML; //  Enlisted Trend Report (E5-E6)</v>
      </c>
    </row>
    <row r="114" spans="1:27" ht="15" x14ac:dyDescent="0.25">
      <c r="A114" t="s">
        <v>912</v>
      </c>
      <c r="B114" t="s">
        <v>912</v>
      </c>
      <c r="C114" s="10" t="s">
        <v>517</v>
      </c>
      <c r="D114" t="s">
        <v>967</v>
      </c>
      <c r="E114" t="s">
        <v>913</v>
      </c>
      <c r="F114" s="2" t="s">
        <v>1014</v>
      </c>
      <c r="G114" s="2" t="s">
        <v>900</v>
      </c>
      <c r="H114" s="2" t="s">
        <v>552</v>
      </c>
      <c r="I114" s="2"/>
      <c r="J114" s="2"/>
      <c r="K114" s="2"/>
      <c r="L114" s="2"/>
      <c r="M114" s="2"/>
      <c r="N114" s="2"/>
      <c r="O114" s="2"/>
      <c r="P114" s="2"/>
      <c r="Q114" s="2"/>
      <c r="R114" s="2"/>
      <c r="S114" s="2"/>
      <c r="T114" s="2"/>
      <c r="U114" s="2"/>
      <c r="V114" s="2"/>
      <c r="W114" s="3" t="str">
        <f>CONCATENATE("var js",Table1[[#This Row],[IDs]]," = document.getElementbyId('",Table1[[#This Row],[IDs]],"').innerHTML; //  ",Table1[[#This Row],[Site]])</f>
        <v>var jsE07 = document.getElementbyId('E07').innerHTML; //  enterprise Military Housing</v>
      </c>
      <c r="X114" s="1" t="str">
        <f t="shared" si="7"/>
        <v xml:space="preserve">        &lt;!--enterprise Military Housing - https://www.emh.housing.navy.mil --&gt;&lt;div class='column catAll' style='margin-bottom: 0px;' id='E07'&gt;&lt;a href='https://www.emh.housing.navy.mil' rel='noopener noreferrer' class='column hideMarquee'&gt;&lt;div class='armyCardContainer card'&gt;&lt;div class='armyCard'&gt;&lt;div&gt;&lt;p class='marquee'&gt;The Enterprise Military Housing System (eMH) includes a public web site (HOMES.mil) which collects information needed to facilitate military personnel searching for suitable community rental housing within close proximity to military installations.&lt;/p&gt;&lt;img src='assets/CaCRequired.png' title='A CAC is required to use some or all features of this site!' Class='cacLocked'&gt;&lt;img src='assets/Card-160.png' class='cardImage' loading='lazy'&gt;&lt;/div&gt;&lt;div class='title'&gt;
          &lt;span&gt;enterprise Military Housing&lt;/span&gt;&lt;/div&gt;&lt;/div&gt;&lt;/div&gt;&lt;/a&gt;&lt;/div&gt;&lt;script&gt;var jsE07 = document.getElementById('E07').innerHTML;&lt;/script&gt;</v>
      </c>
      <c r="Y11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enterprise Military Housing - https://www.emh.housing.navy.mil --&gt;
      &lt;summary&gt;• &lt;a href='https://www.emh.housing.navy.mil' rel='noopener noreferrer'&gt;enterprise Military Housing - https://www.emh.housing.navy.mil&lt;/a&gt;&lt;/summary&gt;
      &lt;p&gt;The Enterprise Military Housing System (eMH) includes a public web site (HOMES.mil) which collects information needed to facilitate military personnel searching for suitable community rental housing within close proximity to military installations.&lt;/p&gt;
    &lt;/details&gt;</v>
      </c>
      <c r="Z114" s="1" t="str">
        <f t="shared" si="4"/>
        <v xml:space="preserve">          &lt;!-- enterprise Military Housing - https://www.emh.housing.navy.mil --&gt;&lt;div id='dragE07' class='catAll'&gt;&lt;div class='column hideMarquee' draggable='true' ondragstart='drag(event)' value='E07' id='E07'&gt;&lt;div class='armyCardContainer ssCard'&gt;&lt;div class='ssArmyCard'&gt;&lt;div&gt;&lt;p class='marquee'&gt;The Enterprise Military Housing System (eMH) includes a public web site (HOMES.mil) which collects information needed to facilitate military personnel searching for suitable community rental housing within close proximity to military installations.&lt;/p&gt;&lt;img src='assets/Card-160.png' class='ssCardImage' draggable='false' loading='lazy'&gt;&lt;/div&gt;&lt;div class='ssTitle'&gt;&lt;span id='E07Title'&gt;enterprise Military Housing&lt;/span&gt;&lt;/div&gt;&lt;/div&gt;&lt;/div&gt;&lt;/div&gt;&lt;/div&gt;&lt;script&gt;var jsE07 = document.getElementById('dragE07').innerHTML;&lt;/script&gt;</v>
      </c>
      <c r="AA114" s="1" t="str">
        <f>CONCATENATE("var js",Table1[[#This Row],[IDs]]," = document.getElementbyId('drag",Table1[[#This Row],[IDs]],"').innerHTML; //  ",Table1[[#This Row],[Site]])</f>
        <v>var jsE07 = document.getElementbyId('dragE07').innerHTML; //  enterprise Military Housing</v>
      </c>
    </row>
    <row r="115" spans="1:27" ht="15" x14ac:dyDescent="0.25">
      <c r="A115" t="s">
        <v>177</v>
      </c>
      <c r="B115" t="s">
        <v>177</v>
      </c>
      <c r="C115" s="2" t="s">
        <v>178</v>
      </c>
      <c r="D115" t="s">
        <v>711</v>
      </c>
      <c r="E115" t="s">
        <v>710</v>
      </c>
      <c r="F115" s="2" t="s">
        <v>410</v>
      </c>
      <c r="G115" s="2" t="s">
        <v>900</v>
      </c>
      <c r="H115" s="2" t="s">
        <v>552</v>
      </c>
      <c r="I115" s="2"/>
      <c r="J115" s="2"/>
      <c r="K115" s="2"/>
      <c r="L115" s="2"/>
      <c r="M115" s="2"/>
      <c r="N115" s="2"/>
      <c r="O115" s="2" t="s">
        <v>18</v>
      </c>
      <c r="P115" s="2"/>
      <c r="Q115" s="2" t="s">
        <v>18</v>
      </c>
      <c r="R115" s="2"/>
      <c r="S115" s="2"/>
      <c r="T115" s="2"/>
      <c r="U115" s="2"/>
      <c r="V115" s="2"/>
      <c r="W115" s="3" t="str">
        <f>CONCATENATE("var js",Table1[[#This Row],[IDs]]," = document.getElementbyId('",Table1[[#This Row],[IDs]],"').innerHTML; //  ",Table1[[#This Row],[Site]])</f>
        <v>var jsE04 = document.getElementbyId('E04').innerHTML; //  Evaluation Entry System</v>
      </c>
      <c r="X115" s="1" t="str">
        <f t="shared" si="7"/>
        <v xml:space="preserve">        &lt;!--Evaluation Entry System - https://evaluations.hrc.army.mil/ --&gt;&lt;div class='column catAll catHuman catProDev' style='margin-bottom: 0px;' id='E04'&gt;&lt;a href='https://evaluations.hrc.army.mil/' rel='noopener noreferrer' class='column hideMarquee'&gt;&lt;div class='armyCardContainer card'&gt;&lt;div class='armyCard'&gt;&lt;div&gt;&lt;p class='marquee'&gt;Evaluation Entry System (EES) is the Army's forms system for Army Officer Evaluation Reports (OERs) and NonCommissioned Officer Evaluation Reports (NCOERs).&lt;/p&gt;&lt;img src='assets/CaCRequired.png' title='A CAC is required to use some or all features of this site!' Class='cacLocked'&gt;&lt;img src='assets/Card-053.png' class='cardImage' loading='lazy'&gt;&lt;/div&gt;&lt;div class='title'&gt;
          &lt;span&gt;Evaluation Entry System&lt;/span&gt;&lt;/div&gt;&lt;/div&gt;&lt;/div&gt;&lt;/a&gt;&lt;/div&gt;&lt;script&gt;var jsE04 = document.getElementById('E04').innerHTML;&lt;/script&gt;</v>
      </c>
      <c r="Y11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Evaluation Entry System - https://evaluations.hrc.army.mil/ --&gt;
      &lt;summary&gt;• &lt;a href='https://evaluations.hrc.army.mil/' rel='noopener noreferrer'&gt;Evaluation Entry System - https://evaluations.hrc.army.mil/&lt;/a&gt;&lt;/summary&gt;
      &lt;p&gt;Evaluation Entry System (EES) is the Army's forms system for Army Officer Evaluation Reports (OERs) and NonCommissioned Officer Evaluation Reports (NCOERs).&lt;/p&gt;
    &lt;/details&gt;</v>
      </c>
      <c r="Z115" s="1" t="str">
        <f t="shared" si="4"/>
        <v xml:space="preserve">          &lt;!-- Evaluation Entry System - https://evaluations.hrc.army.mil/ --&gt;&lt;div id='dragE04' class='catAll catHuman catProDev'&gt;&lt;div class='column hideMarquee' draggable='true' ondragstart='drag(event)' value='E04' id='E04'&gt;&lt;div class='armyCardContainer ssCard'&gt;&lt;div class='ssArmyCard'&gt;&lt;div&gt;&lt;p class='marquee'&gt;Evaluation Entry System (EES) is the Army's forms system for Army Officer Evaluation Reports (OERs) and NonCommissioned Officer Evaluation Reports (NCOERs).&lt;/p&gt;&lt;img src='assets/Card-053.png' class='ssCardImage' draggable='false' loading='lazy'&gt;&lt;/div&gt;&lt;div class='ssTitle'&gt;&lt;span id='E04Title'&gt;Evaluation Entry System&lt;/span&gt;&lt;/div&gt;&lt;/div&gt;&lt;/div&gt;&lt;/div&gt;&lt;/div&gt;&lt;script&gt;var jsE04 = document.getElementById('dragE04').innerHTML;&lt;/script&gt;</v>
      </c>
      <c r="AA115" s="1" t="str">
        <f>CONCATENATE("var js",Table1[[#This Row],[IDs]]," = document.getElementbyId('drag",Table1[[#This Row],[IDs]],"').innerHTML; //  ",Table1[[#This Row],[Site]])</f>
        <v>var jsE04 = document.getElementbyId('dragE04').innerHTML; //  Evaluation Entry System</v>
      </c>
    </row>
    <row r="116" spans="1:27" ht="15" x14ac:dyDescent="0.25">
      <c r="A116" t="s">
        <v>362</v>
      </c>
      <c r="B116" t="s">
        <v>362</v>
      </c>
      <c r="C116" s="2" t="s">
        <v>361</v>
      </c>
      <c r="D116" t="s">
        <v>713</v>
      </c>
      <c r="E116" t="s">
        <v>712</v>
      </c>
      <c r="F116" s="2" t="s">
        <v>182</v>
      </c>
      <c r="G116" s="2" t="s">
        <v>900</v>
      </c>
      <c r="H116" s="2" t="s">
        <v>900</v>
      </c>
      <c r="I116" s="2"/>
      <c r="J116" s="2"/>
      <c r="K116" s="2"/>
      <c r="L116" s="2"/>
      <c r="M116" s="2"/>
      <c r="N116" s="2"/>
      <c r="O116" s="2"/>
      <c r="P116" s="2"/>
      <c r="Q116" s="2"/>
      <c r="R116" s="2"/>
      <c r="S116" s="2"/>
      <c r="T116" s="2"/>
      <c r="U116" s="2" t="s">
        <v>18</v>
      </c>
      <c r="V116" s="2"/>
      <c r="W116" s="3" t="str">
        <f>CONCATENATE("var js",Table1[[#This Row],[IDs]]," = document.getElementbyId('",Table1[[#This Row],[IDs]],"').innerHTML; //  ",Table1[[#This Row],[Site]])</f>
        <v>var jsF00 = document.getElementbyId('F00').innerHTML; //  Federal Voting Assitance Program</v>
      </c>
      <c r="X116" s="1" t="str">
        <f t="shared" si="7"/>
        <v xml:space="preserve">        &lt;!--Federal Voting Assitance Program - https://www.fvap.gov/ --&gt;&lt;div class='column catAll catUsGov' style='margin-bottom: 0px;' id='F00'&gt;&lt;a href='https://www.fvap.gov/' rel='noopener noreferrer' class='column hideMarquee'&gt;&lt;div class='armyCardContainer card'&gt;&lt;div class='armyCard'&gt;&lt;div&gt;&lt;p class='marquee'&gt;The Federal Voting Assistance Program (FVAP) works to ensure Service members, their eligible family members, and overseas citizens are aware of their right to vote and have the tools and resources to successfully do so - from anywhere in the world.&lt;/p&gt;&lt;img src='assets/Card-114.png' class='cardImage' loading='lazy'&gt;&lt;/div&gt;&lt;div class='title'&gt;
          &lt;span&gt;Federal Voting Assitance Program&lt;/span&gt;&lt;/div&gt;&lt;/div&gt;&lt;/div&gt;&lt;/a&gt;&lt;/div&gt;&lt;script&gt;var jsF00 = document.getElementById('F00').innerHTML;&lt;/script&gt;</v>
      </c>
      <c r="Y11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Federal Voting Assitance Program - https://www.fvap.gov/ --&gt;
      &lt;summary&gt;• &lt;a href='https://www.fvap.gov/' rel='noopener noreferrer'&gt;Federal Voting Assitance Program - https://www.fvap.gov/&lt;/a&gt;&lt;/summary&gt;
      &lt;p&gt;The Federal Voting Assistance Program (FVAP) works to ensure Service members, their eligible family members, and overseas citizens are aware of their right to vote and have the tools and resources to successfully do so - from anywhere in the world.&lt;/p&gt;
    &lt;/details&gt;</v>
      </c>
      <c r="Z116" s="1" t="str">
        <f t="shared" si="4"/>
        <v xml:space="preserve">          &lt;!-- Federal Voting Assitance Program - https://www.fvap.gov/ --&gt;&lt;div id='dragF00' class='catAll catUsGov'&gt;&lt;div class='column hideMarquee' draggable='true' ondragstart='drag(event)' value='F00' id='F00'&gt;&lt;div class='armyCardContainer ssCard'&gt;&lt;div class='ssArmyCard'&gt;&lt;div&gt;&lt;p class='marquee'&gt;The Federal Voting Assistance Program (FVAP) works to ensure Service members, their eligible family members, and overseas citizens are aware of their right to vote and have the tools and resources to successfully do so - from anywhere in the world.&lt;/p&gt;&lt;img src='assets/Card-114.png' class='ssCardImage' draggable='false' loading='lazy'&gt;&lt;/div&gt;&lt;div class='ssTitle'&gt;&lt;span id='F00Title'&gt;Federal Voting Assitance Program&lt;/span&gt;&lt;/div&gt;&lt;/div&gt;&lt;/div&gt;&lt;/div&gt;&lt;/div&gt;&lt;script&gt;var jsF00 = document.getElementById('dragF00').innerHTML;&lt;/script&gt;</v>
      </c>
      <c r="AA116" s="1" t="str">
        <f>CONCATENATE("var js",Table1[[#This Row],[IDs]]," = document.getElementbyId('drag",Table1[[#This Row],[IDs]],"').innerHTML; //  ",Table1[[#This Row],[Site]])</f>
        <v>var jsF00 = document.getElementbyId('dragF00').innerHTML; //  Federal Voting Assitance Program</v>
      </c>
    </row>
    <row r="117" spans="1:27" ht="15" x14ac:dyDescent="0.25">
      <c r="A117" t="s">
        <v>180</v>
      </c>
      <c r="B117" t="s">
        <v>180</v>
      </c>
      <c r="C117" s="2" t="s">
        <v>181</v>
      </c>
      <c r="D117" t="s">
        <v>715</v>
      </c>
      <c r="E117" t="s">
        <v>714</v>
      </c>
      <c r="F117" s="2" t="s">
        <v>185</v>
      </c>
      <c r="G117" s="2" t="s">
        <v>552</v>
      </c>
      <c r="H117" s="2" t="s">
        <v>552</v>
      </c>
      <c r="I117" s="2"/>
      <c r="J117" s="2"/>
      <c r="K117" s="2" t="s">
        <v>18</v>
      </c>
      <c r="L117" s="2"/>
      <c r="M117" s="2"/>
      <c r="N117" s="2"/>
      <c r="O117" s="2"/>
      <c r="P117" s="2"/>
      <c r="Q117" s="2"/>
      <c r="R117" s="2"/>
      <c r="S117" s="2"/>
      <c r="T117" s="2"/>
      <c r="U117" s="2"/>
      <c r="V117" s="2"/>
      <c r="W117" s="3" t="str">
        <f>CONCATENATE("var js",Table1[[#This Row],[IDs]]," = document.getElementbyId('",Table1[[#This Row],[IDs]],"').innerHTML; //  ",Table1[[#This Row],[Site]])</f>
        <v>var jsF01 = document.getElementbyId('F01').innerHTML; //  FEDLOG</v>
      </c>
      <c r="X117" s="1" t="str">
        <f t="shared" si="7"/>
        <v xml:space="preserve">        &lt;!--FEDLOG - https://www.us.army.mil/common/fedlog/FEDLOG.ZIP --&gt;&lt;div class='column catAll catDod' style='margin-bottom: 0px;' id='F01'&gt;&lt;a href='https://www.us.army.mil/common/fedlog/FEDLOG.ZIP' rel='noopener noreferrer' class='column hideMarquee'&gt;&lt;div class='armyCardContainer card'&gt;&lt;div class='armyCard'&gt;&lt;div&gt;&lt;p class='marquee'&gt;Federal Logistics (FED LOG) data provides users the ability to access Federal Logistics Information System (FLIS) data during instances when internet connectivity is non-available. FED LOG provides essential information about items of supply to include the National Stock Number (NSN), the Approved Item Name, Manufacturers and Distributors information (to include Part Numbers), Freight Data, Hazardous Materiel Indicators, Interchangeable and Substitutable data, Acquisition Advice Code (AAC) and Unit Price, Physical and Performance Characteristics along with service specific management data.&lt;/p&gt;&lt;img src='assets/CaCRequired.png' title='A CAC is required to use some or all features of this site!' Class='cacLocked'&gt;&lt;img src='assets/DODlock.png' title='This Site requires a DoD network connection to be used!' Class='dodLocked'&gt;&lt;img src='assets/Card-100.png' class='cardImage' loading='lazy'&gt;&lt;/div&gt;&lt;div class='title'&gt;
          &lt;span&gt;FEDLOG&lt;/span&gt;&lt;/div&gt;&lt;/div&gt;&lt;/div&gt;&lt;/a&gt;&lt;/div&gt;&lt;script&gt;var jsF01 = document.getElementById('F01').innerHTML;&lt;/script&gt;</v>
      </c>
      <c r="Y11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FEDLOG - https://www.us.army.mil/common/fedlog/FEDLOG.ZIP --&gt;
      &lt;summary&gt;• &lt;a href='https://www.us.army.mil/common/fedlog/FEDLOG.ZIP' rel='noopener noreferrer'&gt;FEDLOG - https://www.us.army.mil/common/fedlog/FEDLOG.ZIP&lt;/a&gt;&lt;/summary&gt;
      &lt;p&gt;Federal Logistics (FED LOG) data provides users the ability to access Federal Logistics Information System (FLIS) data during instances when internet connectivity is non-available. FED LOG provides essential information about items of supply to include the National Stock Number (NSN), the Approved Item Name, Manufacturers and Distributors information (to include Part Numbers), Freight Data, Hazardous Materiel Indicators, Interchangeable and Substitutable data, Acquisition Advice Code (AAC) and Unit Price, Physical and Performance Characteristics along with service specific management data.&lt;/p&gt;
    &lt;/details&gt;</v>
      </c>
      <c r="Z117" s="1" t="str">
        <f t="shared" si="4"/>
        <v xml:space="preserve">          &lt;!-- FEDLOG - https://www.us.army.mil/common/fedlog/FEDLOG.ZIP --&gt;&lt;div id='dragF01' class='catAll catDod'&gt;&lt;div class='column hideMarquee' draggable='true' ondragstart='drag(event)' value='F01' id='F01'&gt;&lt;div class='armyCardContainer ssCard'&gt;&lt;div class='ssArmyCard'&gt;&lt;div&gt;&lt;p class='marquee'&gt;Federal Logistics (FED LOG) data provides users the ability to access Federal Logistics Information System (FLIS) data during instances when internet connectivity is non-available. FED LOG provides essential information about items of supply to include the National Stock Number (NSN), the Approved Item Name, Manufacturers and Distributors information (to include Part Numbers), Freight Data, Hazardous Materiel Indicators, Interchangeable and Substitutable data, Acquisition Advice Code (AAC) and Unit Price, Physical and Performance Characteristics along with service specific management data.&lt;/p&gt;&lt;img src='assets/Card-100.png' class='ssCardImage' draggable='false' loading='lazy'&gt;&lt;/div&gt;&lt;div class='ssTitle'&gt;&lt;span id='F01Title'&gt;FEDLOG&lt;/span&gt;&lt;/div&gt;&lt;/div&gt;&lt;/div&gt;&lt;/div&gt;&lt;/div&gt;&lt;script&gt;var jsF01 = document.getElementById('dragF01').innerHTML;&lt;/script&gt;</v>
      </c>
      <c r="AA117" s="1" t="str">
        <f>CONCATENATE("var js",Table1[[#This Row],[IDs]]," = document.getElementbyId('drag",Table1[[#This Row],[IDs]],"').innerHTML; //  ",Table1[[#This Row],[Site]])</f>
        <v>var jsF01 = document.getElementbyId('dragF01').innerHTML; //  FEDLOG</v>
      </c>
    </row>
    <row r="118" spans="1:27" ht="15" x14ac:dyDescent="0.25">
      <c r="A118" t="s">
        <v>183</v>
      </c>
      <c r="B118" t="s">
        <v>183</v>
      </c>
      <c r="C118" s="2" t="s">
        <v>184</v>
      </c>
      <c r="D118" t="s">
        <v>715</v>
      </c>
      <c r="E118" t="s">
        <v>714</v>
      </c>
      <c r="F118" s="2" t="s">
        <v>188</v>
      </c>
      <c r="G118" s="2" t="s">
        <v>552</v>
      </c>
      <c r="H118" s="2" t="s">
        <v>552</v>
      </c>
      <c r="I118" s="2"/>
      <c r="J118" s="2"/>
      <c r="K118" s="2" t="s">
        <v>18</v>
      </c>
      <c r="L118" s="2"/>
      <c r="M118" s="2"/>
      <c r="N118" s="2"/>
      <c r="O118" s="2"/>
      <c r="P118" s="2"/>
      <c r="Q118" s="2"/>
      <c r="R118" s="2"/>
      <c r="S118" s="2"/>
      <c r="T118" s="2"/>
      <c r="U118" s="2"/>
      <c r="V118" s="2"/>
      <c r="W118" s="3" t="str">
        <f>CONCATENATE("var js",Table1[[#This Row],[IDs]]," = document.getElementbyId('",Table1[[#This Row],[IDs]],"').innerHTML; //  ",Table1[[#This Row],[Site]])</f>
        <v>var jsF02 = document.getElementbyId('F02').innerHTML; //  FEDLOG LITE</v>
      </c>
      <c r="X118" s="1" t="str">
        <f t="shared" si="7"/>
        <v xml:space="preserve">        &lt;!--FEDLOG LITE - https://www.us.army.mil/common/fedlog/FEDLOGLITE.ZIP  --&gt;&lt;div class='column catAll catDod' style='margin-bottom: 0px;' id='F02'&gt;&lt;a href='https://www.us.army.mil/common/fedlog/FEDLOGLITE.ZIP ' rel='noopener noreferrer' class='column hideMarquee'&gt;&lt;div class='armyCardContainer card'&gt;&lt;div class='armyCard'&gt;&lt;div&gt;&lt;p class='marquee'&gt;Federal Logistics (FED LOG) data provides users the ability to access Federal Logistics Information System (FLIS) data during instances when internet connectivity is non-available. FED LOG provides essential information about items of supply to include the National Stock Number (NSN), the Approved Item Name, Manufacturers and Distributors information (to include Part Numbers), Freight Data, Hazardous Materiel Indicators, Interchangeable and Substitutable data, Acquisition Advice Code (AAC) and Unit Price, Physical and Performance Characteristics along with service specific management data.&lt;/p&gt;&lt;img src='assets/CaCRequired.png' title='A CAC is required to use some or all features of this site!' Class='cacLocked'&gt;&lt;img src='assets/DODlock.png' title='This Site requires a DoD network connection to be used!' Class='dodLocked'&gt;&lt;img src='assets/Card-100.png' class='cardImage' loading='lazy'&gt;&lt;/div&gt;&lt;div class='title'&gt;
          &lt;span&gt;FEDLOG LITE&lt;/span&gt;&lt;/div&gt;&lt;/div&gt;&lt;/div&gt;&lt;/a&gt;&lt;/div&gt;&lt;script&gt;var jsF02 = document.getElementById('F02').innerHTML;&lt;/script&gt;</v>
      </c>
      <c r="Y11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FEDLOG LITE - https://www.us.army.mil/common/fedlog/FEDLOGLITE.ZIP  --&gt;
      &lt;summary&gt;• &lt;a href='https://www.us.army.mil/common/fedlog/FEDLOGLITE.ZIP ' rel='noopener noreferrer'&gt;FEDLOG LITE - https://www.us.army.mil/common/fedlog/FEDLOGLITE.ZIP &lt;/a&gt;&lt;/summary&gt;
      &lt;p&gt;Federal Logistics (FED LOG) data provides users the ability to access Federal Logistics Information System (FLIS) data during instances when internet connectivity is non-available. FED LOG provides essential information about items of supply to include the National Stock Number (NSN), the Approved Item Name, Manufacturers and Distributors information (to include Part Numbers), Freight Data, Hazardous Materiel Indicators, Interchangeable and Substitutable data, Acquisition Advice Code (AAC) and Unit Price, Physical and Performance Characteristics along with service specific management data.&lt;/p&gt;
    &lt;/details&gt;</v>
      </c>
      <c r="Z118" s="1" t="str">
        <f t="shared" si="4"/>
        <v xml:space="preserve">          &lt;!-- FEDLOG LITE - https://www.us.army.mil/common/fedlog/FEDLOGLITE.ZIP  --&gt;&lt;div id='dragF02' class='catAll catDod'&gt;&lt;div class='column hideMarquee' draggable='true' ondragstart='drag(event)' value='F02' id='F02'&gt;&lt;div class='armyCardContainer ssCard'&gt;&lt;div class='ssArmyCard'&gt;&lt;div&gt;&lt;p class='marquee'&gt;Federal Logistics (FED LOG) data provides users the ability to access Federal Logistics Information System (FLIS) data during instances when internet connectivity is non-available. FED LOG provides essential information about items of supply to include the National Stock Number (NSN), the Approved Item Name, Manufacturers and Distributors information (to include Part Numbers), Freight Data, Hazardous Materiel Indicators, Interchangeable and Substitutable data, Acquisition Advice Code (AAC) and Unit Price, Physical and Performance Characteristics along with service specific management data.&lt;/p&gt;&lt;img src='assets/Card-100.png' class='ssCardImage' draggable='false' loading='lazy'&gt;&lt;/div&gt;&lt;div class='ssTitle'&gt;&lt;span id='F02Title'&gt;FEDLOG LITE&lt;/span&gt;&lt;/div&gt;&lt;/div&gt;&lt;/div&gt;&lt;/div&gt;&lt;/div&gt;&lt;script&gt;var jsF02 = document.getElementById('dragF02').innerHTML;&lt;/script&gt;</v>
      </c>
      <c r="AA118" s="1" t="str">
        <f>CONCATENATE("var js",Table1[[#This Row],[IDs]]," = document.getElementbyId('drag",Table1[[#This Row],[IDs]],"').innerHTML; //  ",Table1[[#This Row],[Site]])</f>
        <v>var jsF02 = document.getElementbyId('dragF02').innerHTML; //  FEDLOG LITE</v>
      </c>
    </row>
    <row r="119" spans="1:27" ht="15" x14ac:dyDescent="0.25">
      <c r="A119" t="s">
        <v>186</v>
      </c>
      <c r="B119" t="s">
        <v>186</v>
      </c>
      <c r="C119" s="12" t="s">
        <v>187</v>
      </c>
      <c r="D119" t="s">
        <v>717</v>
      </c>
      <c r="E119" t="s">
        <v>716</v>
      </c>
      <c r="F119" s="1" t="s">
        <v>191</v>
      </c>
      <c r="G119" s="1" t="s">
        <v>900</v>
      </c>
      <c r="H119" s="1" t="s">
        <v>552</v>
      </c>
      <c r="K119" s="1" t="s">
        <v>18</v>
      </c>
      <c r="W119" s="3" t="str">
        <f>CONCATENATE("var js",Table1[[#This Row],[IDs]]," = document.getElementbyId('",Table1[[#This Row],[IDs]],"').innerHTML; //  ",Table1[[#This Row],[Site]])</f>
        <v>var jsF03 = document.getElementbyId('F03').innerHTML; //  FEDMALL</v>
      </c>
      <c r="X119" s="1" t="str">
        <f t="shared" si="7"/>
        <v xml:space="preserve">        &lt;!--FEDMALL - https://www.fedmall.mil/index.html --&gt;&lt;div class='column catAll catDod' style='margin-bottom: 0px;' id='F03'&gt;&lt;a href='https://www.fedmall.mil/index.html' rel='noopener noreferrer' class='column hideMarquee'&gt;&lt;div class='armyCardContainer card'&gt;&lt;div class='armyCard'&gt;&lt;div&gt;&lt;p class='marquee'&gt;FedMall is the premier government e-commerce acquisition platform providing an optimal experience for customers which include the United States military services, federal, state and authorized local governmental agencies. Customers are able to quickly search and purchase items online whatever the need may be from wherever you are.&lt;/p&gt;&lt;img src='assets/CaCRequired.png' title='A CAC is required to use some or all features of this site!' Class='cacLocked'&gt;&lt;img src='assets/Card-107.png' class='cardImage' loading='lazy'&gt;&lt;/div&gt;&lt;div class='title'&gt;
          &lt;span&gt;FEDMALL&lt;/span&gt;&lt;/div&gt;&lt;/div&gt;&lt;/div&gt;&lt;/a&gt;&lt;/div&gt;&lt;script&gt;var jsF03 = document.getElementById('F03').innerHTML;&lt;/script&gt;</v>
      </c>
      <c r="Y11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FEDMALL - https://www.fedmall.mil/index.html --&gt;
      &lt;summary&gt;• &lt;a href='https://www.fedmall.mil/index.html' rel='noopener noreferrer'&gt;FEDMALL - https://www.fedmall.mil/index.html&lt;/a&gt;&lt;/summary&gt;
      &lt;p&gt;FedMall is the premier government e-commerce acquisition platform providing an optimal experience for customers which include the United States military services, federal, state and authorized local governmental agencies. Customers are able to quickly search and purchase items online whatever the need may be from wherever you are.&lt;/p&gt;
    &lt;/details&gt;</v>
      </c>
      <c r="Z119" s="1" t="str">
        <f t="shared" si="4"/>
        <v xml:space="preserve">          &lt;!-- FEDMALL - https://www.fedmall.mil/index.html --&gt;&lt;div id='dragF03' class='catAll catDod'&gt;&lt;div class='column hideMarquee' draggable='true' ondragstart='drag(event)' value='F03' id='F03'&gt;&lt;div class='armyCardContainer ssCard'&gt;&lt;div class='ssArmyCard'&gt;&lt;div&gt;&lt;p class='marquee'&gt;FedMall is the premier government e-commerce acquisition platform providing an optimal experience for customers which include the United States military services, federal, state and authorized local governmental agencies. Customers are able to quickly search and purchase items online whatever the need may be from wherever you are.&lt;/p&gt;&lt;img src='assets/Card-107.png' class='ssCardImage' draggable='false' loading='lazy'&gt;&lt;/div&gt;&lt;div class='ssTitle'&gt;&lt;span id='F03Title'&gt;FEDMALL&lt;/span&gt;&lt;/div&gt;&lt;/div&gt;&lt;/div&gt;&lt;/div&gt;&lt;/div&gt;&lt;script&gt;var jsF03 = document.getElementById('dragF03').innerHTML;&lt;/script&gt;</v>
      </c>
      <c r="AA119" s="1" t="str">
        <f>CONCATENATE("var js",Table1[[#This Row],[IDs]]," = document.getElementbyId('drag",Table1[[#This Row],[IDs]],"').innerHTML; //  ",Table1[[#This Row],[Site]])</f>
        <v>var jsF03 = document.getElementbyId('dragF03').innerHTML; //  FEDMALL</v>
      </c>
    </row>
    <row r="120" spans="1:27" ht="15" x14ac:dyDescent="0.25">
      <c r="A120" t="s">
        <v>189</v>
      </c>
      <c r="B120" t="s">
        <v>189</v>
      </c>
      <c r="C120" s="12" t="s">
        <v>190</v>
      </c>
      <c r="D120" t="s">
        <v>719</v>
      </c>
      <c r="E120" t="s">
        <v>718</v>
      </c>
      <c r="F120" s="1" t="s">
        <v>194</v>
      </c>
      <c r="G120" s="1" t="s">
        <v>900</v>
      </c>
      <c r="H120" s="1" t="s">
        <v>552</v>
      </c>
      <c r="I120" s="1" t="s">
        <v>18</v>
      </c>
      <c r="M120" s="1" t="s">
        <v>18</v>
      </c>
      <c r="P120" s="1" t="s">
        <v>18</v>
      </c>
      <c r="W120" s="3" t="str">
        <f>CONCATENATE("var js",Table1[[#This Row],[IDs]]," = document.getElementbyId('",Table1[[#This Row],[IDs]],"').innerHTML; //  ",Table1[[#This Row],[Site]])</f>
        <v>var jsF04 = document.getElementbyId('F04').innerHTML; //  Financial Disclosure Management</v>
      </c>
      <c r="X120" s="1" t="str">
        <f t="shared" si="7"/>
        <v xml:space="preserve">        &lt;!--Financial Disclosure Management - https://www.fdm.army.mil/ --&gt;&lt;div class='column catAll catArmySites catFinance catLegal' style='margin-bottom: 0px;' id='F04'&gt;&lt;a href='https://www.fdm.army.mil/' rel='noopener noreferrer' class='column hideMarquee'&gt;&lt;div class='armyCardContainer card'&gt;&lt;div class='armyCard'&gt;&lt;div&gt;&lt;p class='marquee'&gt;Financial Disclosure Management (FDM) is a secure, Army electronic filing (e-filing) system for its authorized users to file and maintain required financial interest reports anywhere via a Web browser.&lt;/p&gt;&lt;img src='assets/CaCRequired.png' title='A CAC is required to use some or all features of this site!' Class='cacLocked'&gt;&lt;img src='assets/Card-020.png' class='cardImage' loading='lazy'&gt;&lt;/div&gt;&lt;div class='title'&gt;
          &lt;span&gt;Financial Disclosure Management&lt;/span&gt;&lt;/div&gt;&lt;/div&gt;&lt;/div&gt;&lt;/a&gt;&lt;/div&gt;&lt;script&gt;var jsF04 = document.getElementById('F04').innerHTML;&lt;/script&gt;</v>
      </c>
      <c r="Y12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Financial Disclosure Management - https://www.fdm.army.mil/ --&gt;
      &lt;summary&gt;• &lt;a href='https://www.fdm.army.mil/' rel='noopener noreferrer'&gt;Financial Disclosure Management - https://www.fdm.army.mil/&lt;/a&gt;&lt;/summary&gt;
      &lt;p&gt;Financial Disclosure Management (FDM) is a secure, Army electronic filing (e-filing) system for its authorized users to file and maintain required financial interest reports anywhere via a Web browser.&lt;/p&gt;
    &lt;/details&gt;</v>
      </c>
      <c r="Z120" s="1" t="str">
        <f t="shared" si="4"/>
        <v xml:space="preserve">          &lt;!-- Financial Disclosure Management - https://www.fdm.army.mil/ --&gt;&lt;div id='dragF04' class='catAll catArmySites catFinance catLegal'&gt;&lt;div class='column hideMarquee' draggable='true' ondragstart='drag(event)' value='F04' id='F04'&gt;&lt;div class='armyCardContainer ssCard'&gt;&lt;div class='ssArmyCard'&gt;&lt;div&gt;&lt;p class='marquee'&gt;Financial Disclosure Management (FDM) is a secure, Army electronic filing (e-filing) system for its authorized users to file and maintain required financial interest reports anywhere via a Web browser.&lt;/p&gt;&lt;img src='assets/Card-020.png' class='ssCardImage' draggable='false' loading='lazy'&gt;&lt;/div&gt;&lt;div class='ssTitle'&gt;&lt;span id='F04Title'&gt;Financial Disclosure Management&lt;/span&gt;&lt;/div&gt;&lt;/div&gt;&lt;/div&gt;&lt;/div&gt;&lt;/div&gt;&lt;script&gt;var jsF04 = document.getElementById('dragF04').innerHTML;&lt;/script&gt;</v>
      </c>
      <c r="AA120" s="1" t="str">
        <f>CONCATENATE("var js",Table1[[#This Row],[IDs]]," = document.getElementbyId('drag",Table1[[#This Row],[IDs]],"').innerHTML; //  ",Table1[[#This Row],[Site]])</f>
        <v>var jsF04 = document.getElementbyId('dragF04').innerHTML; //  Financial Disclosure Management</v>
      </c>
    </row>
    <row r="121" spans="1:27" ht="15" x14ac:dyDescent="0.25">
      <c r="A121" t="s">
        <v>518</v>
      </c>
      <c r="B121" t="s">
        <v>518</v>
      </c>
      <c r="C121" s="12" t="s">
        <v>519</v>
      </c>
      <c r="D121" t="s">
        <v>721</v>
      </c>
      <c r="E121" t="s">
        <v>720</v>
      </c>
      <c r="F121" s="1" t="s">
        <v>944</v>
      </c>
      <c r="G121" s="1" t="s">
        <v>552</v>
      </c>
      <c r="H121" s="1" t="s">
        <v>552</v>
      </c>
      <c r="W121" s="3" t="str">
        <f>CONCATENATE("var js",Table1[[#This Row],[IDs]]," = document.getElementbyId('",Table1[[#This Row],[IDs]],"').innerHTML; //  ",Table1[[#This Row],[Site]])</f>
        <v>var jsF06 = document.getElementbyId('F06').innerHTML; //  FMS Web</v>
      </c>
      <c r="X121" s="1" t="str">
        <f t="shared" si="7"/>
        <v xml:space="preserve">        &lt;!--FMS Web - https://fmsweb.army.mil --&gt;&lt;div class='column catAll' style='margin-bottom: 0px;' id='F06'&gt;&lt;a href='https://fmsweb.army.mil' rel='noopener noreferrer' class='column hideMarquee'&gt;&lt;div class='armyCardContainer card'&gt;&lt;div class='armyCard'&gt;&lt;div&gt;&lt;p class='marquee'&gt;An Army System that allows users to access, compare and save unit Modification Tables of Organization and Equipment, or MTOEs. It provides multiple ways to search for information and multiple ways for the user to save the information to their systems.&lt;/p&gt;&lt;img src='assets/CaCRequired.png' title='A CAC is required to use some or all features of this site!' Class='cacLocked'&gt;&lt;img src='assets/DODlock.png' title='This Site requires a DoD network connection to be used!' Class='dodLocked'&gt;&lt;img src='assets/Card-098.png' class='cardImage' loading='lazy'&gt;&lt;/div&gt;&lt;div class='title'&gt;
          &lt;span&gt;FMS Web&lt;/span&gt;&lt;/div&gt;&lt;/div&gt;&lt;/div&gt;&lt;/a&gt;&lt;/div&gt;&lt;script&gt;var jsF06 = document.getElementById('F06').innerHTML;&lt;/script&gt;</v>
      </c>
      <c r="Y12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FMS Web - https://fmsweb.army.mil --&gt;
      &lt;summary&gt;• &lt;a href='https://fmsweb.army.mil' rel='noopener noreferrer'&gt;FMS Web - https://fmsweb.army.mil&lt;/a&gt;&lt;/summary&gt;
      &lt;p&gt;An Army System that allows users to access, compare and save unit Modification Tables of Organization and Equipment, or MTOEs. It provides multiple ways to search for information and multiple ways for the user to save the information to their systems.&lt;/p&gt;
    &lt;/details&gt;</v>
      </c>
      <c r="Z121" s="1" t="str">
        <f t="shared" si="4"/>
        <v xml:space="preserve">          &lt;!-- FMS Web - https://fmsweb.army.mil --&gt;&lt;div id='dragF06' class='catAll'&gt;&lt;div class='column hideMarquee' draggable='true' ondragstart='drag(event)' value='F06' id='F06'&gt;&lt;div class='armyCardContainer ssCard'&gt;&lt;div class='ssArmyCard'&gt;&lt;div&gt;&lt;p class='marquee'&gt;An Army System that allows users to access, compare and save unit Modification Tables of Organization and Equipment, or MTOEs. It provides multiple ways to search for information and multiple ways for the user to save the information to their systems.&lt;/p&gt;&lt;img src='assets/Card-098.png' class='ssCardImage' draggable='false' loading='lazy'&gt;&lt;/div&gt;&lt;div class='ssTitle'&gt;&lt;span id='F06Title'&gt;FMS Web&lt;/span&gt;&lt;/div&gt;&lt;/div&gt;&lt;/div&gt;&lt;/div&gt;&lt;/div&gt;&lt;script&gt;var jsF06 = document.getElementById('dragF06').innerHTML;&lt;/script&gt;</v>
      </c>
      <c r="AA121" s="1" t="str">
        <f>CONCATENATE("var js",Table1[[#This Row],[IDs]]," = document.getElementbyId('drag",Table1[[#This Row],[IDs]],"').innerHTML; //  ",Table1[[#This Row],[Site]])</f>
        <v>var jsF06 = document.getElementbyId('dragF06').innerHTML; //  FMS Web</v>
      </c>
    </row>
    <row r="122" spans="1:27" ht="15" x14ac:dyDescent="0.25">
      <c r="A122" s="1" t="s">
        <v>192</v>
      </c>
      <c r="B122" s="1" t="s">
        <v>192</v>
      </c>
      <c r="C122" s="1" t="s">
        <v>193</v>
      </c>
      <c r="D122" t="s">
        <v>721</v>
      </c>
      <c r="E122" t="s">
        <v>720</v>
      </c>
      <c r="F122" s="1" t="s">
        <v>409</v>
      </c>
      <c r="G122" s="1" t="s">
        <v>552</v>
      </c>
      <c r="H122" s="1" t="s">
        <v>552</v>
      </c>
      <c r="I122" s="1" t="s">
        <v>18</v>
      </c>
      <c r="W122" s="3" t="str">
        <f>CONCATENATE("var js",Table1[[#This Row],[IDs]]," = document.getElementbyId('",Table1[[#This Row],[IDs]],"').innerHTML; //  ",Table1[[#This Row],[Site]])</f>
        <v>var jsF05 = document.getElementbyId('F05').innerHTML; //  Force Management System (FMSWeb)</v>
      </c>
      <c r="X122" s="1" t="str">
        <f t="shared" si="7"/>
        <v xml:space="preserve">        &lt;!--Force Management System (FMSWeb) - https://fmsweb.fms.army.mil/ --&gt;&lt;div class='column catAll catArmySites' style='margin-bottom: 0px;' id='F05'&gt;&lt;a href='https://fmsweb.fms.army.mil/' rel='noopener noreferrer' class='column hideMarquee'&gt;&lt;div class='armyCardContainer card'&gt;&lt;div class='armyCard'&gt;&lt;div&gt;&lt;p class='marquee'&gt;An Army System that allows users to access, compare and save unit Modification Tables of Organization and Equipment, or MTOEs. It provides multiple ways to search for information and multiple ways for the user to save the information to their systems.&lt;/p&gt;&lt;img src='assets/CaCRequired.png' title='A CAC is required to use some or all features of this site!' Class='cacLocked'&gt;&lt;img src='assets/DODlock.png' title='This Site requires a DoD network connection to be used!' Class='dodLocked'&gt;&lt;img src='assets/Card-098.png' class='cardImage' loading='lazy'&gt;&lt;/div&gt;&lt;div class='title'&gt;
          &lt;span&gt;Force Management System (FMSWeb)&lt;/span&gt;&lt;/div&gt;&lt;/div&gt;&lt;/div&gt;&lt;/a&gt;&lt;/div&gt;&lt;script&gt;var jsF05 = document.getElementById('F05').innerHTML;&lt;/script&gt;</v>
      </c>
      <c r="Y12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Force Management System (FMSWeb) - https://fmsweb.fms.army.mil/ --&gt;
      &lt;summary&gt;• &lt;a href='https://fmsweb.fms.army.mil/' rel='noopener noreferrer'&gt;Force Management System (FMSWeb) - https://fmsweb.fms.army.mil/&lt;/a&gt;&lt;/summary&gt;
      &lt;p&gt;An Army System that allows users to access, compare and save unit Modification Tables of Organization and Equipment, or MTOEs. It provides multiple ways to search for information and multiple ways for the user to save the information to their systems.&lt;/p&gt;
    &lt;/details&gt;</v>
      </c>
      <c r="Z122" s="1" t="str">
        <f t="shared" si="4"/>
        <v xml:space="preserve">          &lt;!-- Force Management System (FMSWeb) - https://fmsweb.fms.army.mil/ --&gt;&lt;div id='dragF05' class='catAll catArmySites'&gt;&lt;div class='column hideMarquee' draggable='true' ondragstart='drag(event)' value='F05' id='F05'&gt;&lt;div class='armyCardContainer ssCard'&gt;&lt;div class='ssArmyCard'&gt;&lt;div&gt;&lt;p class='marquee'&gt;An Army System that allows users to access, compare and save unit Modification Tables of Organization and Equipment, or MTOEs. It provides multiple ways to search for information and multiple ways for the user to save the information to their systems.&lt;/p&gt;&lt;img src='assets/Card-098.png' class='ssCardImage' draggable='false' loading='lazy'&gt;&lt;/div&gt;&lt;div class='ssTitle'&gt;&lt;span id='F05Title'&gt;Force Management System (FMSWeb)&lt;/span&gt;&lt;/div&gt;&lt;/div&gt;&lt;/div&gt;&lt;/div&gt;&lt;/div&gt;&lt;script&gt;var jsF05 = document.getElementById('dragF05').innerHTML;&lt;/script&gt;</v>
      </c>
      <c r="AA122" s="1" t="str">
        <f>CONCATENATE("var js",Table1[[#This Row],[IDs]]," = document.getElementbyId('drag",Table1[[#This Row],[IDs]],"').innerHTML; //  ",Table1[[#This Row],[Site]])</f>
        <v>var jsF05 = document.getElementbyId('dragF05').innerHTML; //  Force Management System (FMSWeb)</v>
      </c>
    </row>
    <row r="123" spans="1:27" ht="15" hidden="1" x14ac:dyDescent="0.25">
      <c r="A123" t="s">
        <v>192</v>
      </c>
      <c r="C123" s="16" t="s">
        <v>1070</v>
      </c>
      <c r="W123" s="3" t="str">
        <f>CONCATENATE("var js",Table1[[#This Row],[IDs]]," = document.getElementbyId('",Table1[[#This Row],[IDs]],"').innerHTML; //  ",Table1[[#This Row],[Site]])</f>
        <v>var js = document.getElementbyId('').innerHTML; //  Force Management System (FMSWeb)</v>
      </c>
      <c r="X123" s="1" t="str">
        <f>CONCATENATE("        &lt;!--",A123," - ",C123," --&gt;
        &lt;div class='column catAll",IF(I123="X"," catArmySites",""),IF(J123="X"," catCombatReadiness",""),IF(K123="X"," catDod",""),IF(L123="X"," catFamily",""),IF(M123="X"," catFinance",""),IF(N123="X"," catHealth",""),IF(O123="X"," catHuman",""),IF(P123="X"," catLegal",""),IF(Q123="X"," catProDev",""),IF(R123="X"," catTech",""),IF(S123="X"," catMilEd",""),IF(T123="X"," catCivEd",""),IF(U123="X"," catUsGov",""),"' style='margin-bottom: 0px;' id='",F123,"'&gt;
          &lt;a href='",C123,"' rel='noopener noreferrer' class='column hideMarquee'&gt;
            &lt;div class='armyCardContainer card'&gt;
              &lt;div class='armyCard'&gt;
                &lt;div&gt;
                  &lt;p class='marquee'&gt;",E123,"&lt;/p&gt;",
IF(H123="Yes","									&lt;img src='assets/CaCRequired.png'  title='A CAC is required to use some or all features of this site!' Class='cacLocked'&gt;
",""),IF(G123="Yes","									&lt;img src='assets/DODlock.png' title='This Site requires a DoD network connection to be used!' Class='dodLocked'&gt;
",""),"
                  &lt;img src='assets/",D123,"' class='cardImage' loading='lazy'&gt;
                &lt;/div&gt;
                &lt;div class='title'&gt;
                  &lt;span&gt;",A123,"&lt;/span&gt;
                &lt;/div&gt;
              &lt;/div&gt;
            &lt;/div&gt;
          &lt;/a&gt;
        &lt;/div&gt;")</f>
        <v xml:space="preserve">        &lt;!--Force Management System (FMSWeb) - https://fmsweb.fms.army.mil/unprotected/splash/ --&gt;
        &lt;div class='column catAll' style='margin-bottom: 0px;' id=''&gt;
          &lt;a href='https://fmsweb.fms.army.mil/unprotected/splash/' rel='noopener noreferrer' class='column hideMarquee'&gt;
            &lt;div class='armyCardContainer card'&gt;
              &lt;div class='armyCard'&gt;
                &lt;div&gt;
                  &lt;p class='marquee'&gt;&lt;/p&gt;
                  &lt;img src='assets/' class='cardImage' loading='lazy'&gt;
                &lt;/div&gt;
                &lt;div class='title'&gt;
                  &lt;span&gt;Force Management System (FMSWeb)&lt;/span&gt;
                &lt;/div&gt;
              &lt;/div&gt;
            &lt;/div&gt;
          &lt;/a&gt;
        &lt;/div&gt;</v>
      </c>
      <c r="Y12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Force Management System (FMSWeb) - https://fmsweb.fms.army.mil/unprotected/splash/ --&gt;
      &lt;summary&gt;• &lt;a href='https://fmsweb.fms.army.mil/unprotected/splash/' rel='noopener noreferrer'&gt;Force Management System (FMSWeb) - https://fmsweb.fms.army.mil/unprotected/splash/&lt;/a&gt;&lt;/summary&gt;
      &lt;p&gt;&lt;/p&gt;
    &lt;/details&gt;</v>
      </c>
      <c r="Z123" s="1" t="str">
        <f t="shared" si="4"/>
        <v xml:space="preserve">          &lt;!--  - https://fmsweb.fms.army.mil/unprotected/splash/ --&gt;&lt;div id='drag' class='catAll'&gt;&lt;div class='column hideMarquee' draggable='true' ondragstart='drag(event)' value='' id=''&gt;&lt;div class='armyCardContainer ssCard'&gt;&lt;div class='ssArmyCard'&gt;&lt;div&gt;&lt;p class='marquee'&gt;&lt;/p&gt;&lt;img src='assets/' class='ssCardImage' draggable='false' loading='lazy'&gt;&lt;/div&gt;&lt;div class='ssTitle'&gt;&lt;span id='Title'&gt;Force Management System (FMSWeb)&lt;/span&gt;&lt;/div&gt;&lt;/div&gt;&lt;/div&gt;&lt;/div&gt;&lt;/div&gt;&lt;script&gt;var js = document.getElementById('drag').innerHTML;&lt;/script&gt;</v>
      </c>
      <c r="AA123" s="1" t="str">
        <f>CONCATENATE("var js",Table1[[#This Row],[IDs]]," = document.getElementbyId('drag",Table1[[#This Row],[IDs]],"').innerHTML; //  ",Table1[[#This Row],[Site]])</f>
        <v>var js = document.getElementbyId('drag').innerHTML; //  Force Management System (FMSWeb)</v>
      </c>
    </row>
    <row r="124" spans="1:27" ht="15" hidden="1" x14ac:dyDescent="0.25">
      <c r="A124" t="s">
        <v>197</v>
      </c>
      <c r="B124" t="s">
        <v>197</v>
      </c>
      <c r="C124" s="1" t="s">
        <v>198</v>
      </c>
      <c r="D124" t="s">
        <v>723</v>
      </c>
      <c r="E124" t="s">
        <v>722</v>
      </c>
      <c r="F124" s="1" t="s">
        <v>199</v>
      </c>
      <c r="M124" s="1" t="s">
        <v>18</v>
      </c>
      <c r="W124" s="3" t="str">
        <f>CONCATENATE("var js",Table1[[#This Row],[IDs]]," = document.getElementbyId('",Table1[[#This Row],[IDs]],"').innerHTML; //  ",Table1[[#This Row],[Site]])</f>
        <v>var jsG00 = document.getElementbyId('G00').innerHTML; //  GENERAL FUND ENTERPRISE BUSINESS SYSTEM</v>
      </c>
      <c r="X124" s="1" t="str">
        <f>CONCATENATE("        &lt;!--",A124," - ",C124," --&gt;&lt;div class='column catAll",IF(I124="X"," catArmySites",""),IF(J124="X"," catCombatReadiness",""),IF(K124="X"," catDod",""),IF(L124="X"," catFamily",""),IF(M124="X"," catFinance",""),IF(N124="X"," catHealth",""),IF(O124="X"," catHuman",""),IF(P124="X"," catLegal",""),IF(Q124="X"," catProDev",""),IF(R124="X"," catTech",""),IF(S124="X"," catMilEd",""),IF(T124="X"," catCivEd",""),IF(U124="X"," catUsGov",""),"' style='margin-bottom: 0px;' id='",F124,"'&gt;&lt;a href='",C124,"' rel='noopener noreferrer' class='column hideMarquee'&gt;&lt;div class='armyCardContainer card'&gt;&lt;div class='armyCard'&gt;&lt;div&gt;&lt;p class='marquee'&gt;",E124,"&lt;/p&gt;",IF(H124="Yes","&lt;img src='assets/CaCRequired.png' title='A CAC is required to use some or all features of this site!' Class='cacLocked'&gt;",""),IF(G124="Yes","&lt;img src='assets/DODlock.png' title='This Site requires a DoD network connection to be used!' Class='dodLocked'&gt;",""),"&lt;img src='assets/",D124,"' class='cardImage' loading='lazy'&gt;&lt;/div&gt;&lt;div class='title'&gt;&lt;span&gt;",A124,"&lt;/span&gt;&lt;/div&gt;&lt;/div&gt;&lt;/div&gt;&lt;/a&gt;&lt;/div&gt;&lt;script&gt;var js",F124," = document.getElementbyId('",F124,"').innerHTML;&lt;/script&gt;")</f>
        <v xml:space="preserve">        &lt;!--GENERAL FUND ENTERPRISE BUSINESS SYSTEM - https://prodep.gfebs-erp.army.mil --&gt;&lt;div class='column catAll catFinance' style='margin-bottom: 0px;' id='G00'&gt;&lt;a href='https://prodep.gfebs-erp.army.mil' rel='noopener noreferrer' class='column hideMarquee'&gt;&lt;div class='armyCardContainer card'&gt;&lt;div class='armyCard'&gt;&lt;div&gt;&lt;p class='marquee'&gt;General Fund Enterprise Business Systems (GFEBS) employs a Commercial-Off-The-Shelf (COTS), web-based Enterprise Resource Planning (ERP) solution to integrate financial, real property and other asset, cost and performance data. GFEBS standardizes business processes and transactions across the active Army, the Army National Guard (ARNG) and the United States Army Reserve (USAR) at over 200 locations. GFEBS provides real-time visibility of transactions, as well as historical data, to provide an integrated, analytic foundation for decision-making.&lt;/p&gt;&lt;img src='assets/Card-083.png' class='cardImage' loading='lazy'&gt;&lt;/div&gt;&lt;div class='title'&gt;&lt;span&gt;GENERAL FUND ENTERPRISE BUSINESS SYSTEM&lt;/span&gt;&lt;/div&gt;&lt;/div&gt;&lt;/div&gt;&lt;/a&gt;&lt;/div&gt;&lt;script&gt;var jsG00 = document.getElementbyId('G00').innerHTML;&lt;/script&gt;</v>
      </c>
      <c r="Y12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GENERAL FUND ENTERPRISE BUSINESS SYSTEM - https://prodep.gfebs-erp.army.mil --&gt;
      &lt;summary&gt;• &lt;a href='https://prodep.gfebs-erp.army.mil' rel='noopener noreferrer'&gt;GENERAL FUND ENTERPRISE BUSINESS SYSTEM - https://prodep.gfebs-erp.army.mil&lt;/a&gt;&lt;/summary&gt;
      &lt;p&gt;General Fund Enterprise Business Systems (GFEBS) employs a Commercial-Off-The-Shelf (COTS), web-based Enterprise Resource Planning (ERP) solution to integrate financial, real property and other asset, cost and performance data. GFEBS standardizes business processes and transactions across the active Army, the Army National Guard (ARNG) and the United States Army Reserve (USAR) at over 200 locations. GFEBS provides real-time visibility of transactions, as well as historical data, to provide an integrated, analytic foundation for decision-making.&lt;/p&gt;
    &lt;/details&gt;</v>
      </c>
      <c r="Z124" s="1" t="str">
        <f t="shared" si="4"/>
        <v xml:space="preserve">          &lt;!-- GENERAL FUND ENTERPRISE BUSINESS SYSTEM - https://prodep.gfebs-erp.army.mil --&gt;&lt;div id='dragG00' class='catAll catFinance'&gt;&lt;div class='column hideMarquee' draggable='true' ondragstart='drag(event)' value='G00' id='G00'&gt;&lt;div class='armyCardContainer ssCard'&gt;&lt;div class='ssArmyCard'&gt;&lt;div&gt;&lt;p class='marquee'&gt;General Fund Enterprise Business Systems (GFEBS) employs a Commercial-Off-The-Shelf (COTS), web-based Enterprise Resource Planning (ERP) solution to integrate financial, real property and other asset, cost and performance data. GFEBS standardizes business processes and transactions across the active Army, the Army National Guard (ARNG) and the United States Army Reserve (USAR) at over 200 locations. GFEBS provides real-time visibility of transactions, as well as historical data, to provide an integrated, analytic foundation for decision-making.&lt;/p&gt;&lt;img src='assets/Card-083.png' class='ssCardImage' draggable='false' loading='lazy'&gt;&lt;/div&gt;&lt;div class='ssTitle'&gt;&lt;span id='G00Title'&gt;GENERAL FUND ENTERPRISE BUSINESS SYSTEM&lt;/span&gt;&lt;/div&gt;&lt;/div&gt;&lt;/div&gt;&lt;/div&gt;&lt;/div&gt;&lt;script&gt;var jsG00 = document.getElementById('dragG00').innerHTML;&lt;/script&gt;</v>
      </c>
      <c r="AA124" s="1" t="str">
        <f>CONCATENATE("var js",Table1[[#This Row],[IDs]]," = document.getElementbyId('drag",Table1[[#This Row],[IDs]],"').innerHTML; //  ",Table1[[#This Row],[Site]])</f>
        <v>var jsG00 = document.getElementbyId('dragG00').innerHTML; //  GENERAL FUND ENTERPRISE BUSINESS SYSTEM</v>
      </c>
    </row>
    <row r="125" spans="1:27" ht="15" hidden="1" x14ac:dyDescent="0.25">
      <c r="A125" t="s">
        <v>499</v>
      </c>
      <c r="B125" t="s">
        <v>499</v>
      </c>
      <c r="C125" s="12" t="s">
        <v>500</v>
      </c>
      <c r="D125" t="s">
        <v>639</v>
      </c>
      <c r="E125"/>
      <c r="W125" s="3" t="str">
        <f>CONCATENATE("var js",Table1[[#This Row],[IDs]]," = document.getElementbyId('",Table1[[#This Row],[IDs]],"').innerHTML; //  ",Table1[[#This Row],[Site]])</f>
        <v>var js = document.getElementbyId('').innerHTML; //  GFEBS</v>
      </c>
      <c r="X125" s="1" t="str">
        <f>CONCATENATE("        &lt;!--",A125," - ",C125," --&gt;
        &lt;div class='column catAll",IF(I125="X"," catArmySites",""),IF(J125="X"," catCombatReadiness",""),IF(K125="X"," catDod",""),IF(L125="X"," catFamily",""),IF(M125="X"," catFinance",""),IF(N125="X"," catHealth",""),IF(O125="X"," catHuman",""),IF(P125="X"," catLegal",""),IF(Q125="X"," catProDev",""),IF(R125="X"," catTech",""),IF(S125="X"," catMilEd",""),IF(T125="X"," catCivEd",""),IF(U125="X"," catUsGov",""),"' style='margin-bottom: 0px;' id='",F125,"'&gt;
          &lt;a href='",C125,"' rel='noopener noreferrer' class='column hideMarquee'&gt;
            &lt;div class='armyCardContainer card'&gt;
              &lt;div class='armyCard'&gt;
                &lt;div&gt;
                  &lt;p class='marquee'&gt;",E125,"&lt;/p&gt;",
IF(H125="Yes","									&lt;img src='assets/CaCRequired.png'  title='A CAC is required to use some or all features of this site!' Class='cacLocked'&gt;
",""),IF(G125="Yes","									&lt;img src='assets/DODlock.png' title='This Site requires a DoD network connection to be used!' Class='dodLocked'&gt;
",""),"
                  &lt;img src='assets/",D125,"' class='cardImage' loading='lazy'&gt;
                &lt;/div&gt;
                &lt;div class='title'&gt;
                  &lt;span&gt;",A125,"&lt;/span&gt;
                &lt;/div&gt;
              &lt;/div&gt;
            &lt;/div&gt;
          &lt;/a&gt;
        &lt;/div&gt;")</f>
        <v xml:space="preserve">        &lt;!--GFEBS - https://gfebs.army.mil/ --&gt;
        &lt;div class='column catAll' style='margin-bottom: 0px;' id=''&gt;
          &lt;a href='https://gfebs.army.mil/' rel='noopener noreferrer' class='column hideMarquee'&gt;
            &lt;div class='armyCardContainer card'&gt;
              &lt;div class='armyCard'&gt;
                &lt;div&gt;
                  &lt;p class='marquee'&gt;&lt;/p&gt;
                  &lt;img src='assets/Card-000.gif' class='cardImage' loading='lazy'&gt;
                &lt;/div&gt;
                &lt;div class='title'&gt;
                  &lt;span&gt;GFEBS&lt;/span&gt;
                &lt;/div&gt;
              &lt;/div&gt;
            &lt;/div&gt;
          &lt;/a&gt;
        &lt;/div&gt;</v>
      </c>
      <c r="Y12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GFEBS - https://gfebs.army.mil/ --&gt;
      &lt;summary&gt;• &lt;a href='https://gfebs.army.mil/' rel='noopener noreferrer'&gt;GFEBS - https://gfebs.army.mil/&lt;/a&gt;&lt;/summary&gt;
      &lt;p&gt;&lt;/p&gt;
    &lt;/details&gt;</v>
      </c>
      <c r="Z125" s="1" t="str">
        <f t="shared" si="4"/>
        <v xml:space="preserve">          &lt;!-- GFEBS - https://gfebs.army.mil/ --&gt;&lt;div id='drag' class='catAll'&gt;&lt;div class='column hideMarquee' draggable='true' ondragstart='drag(event)' value='' id=''&gt;&lt;div class='armyCardContainer ssCard'&gt;&lt;div class='ssArmyCard'&gt;&lt;div&gt;&lt;p class='marquee'&gt;&lt;/p&gt;&lt;img src='assets/Card-000.gif' class='ssCardImage' draggable='false' loading='lazy'&gt;&lt;/div&gt;&lt;div class='ssTitle'&gt;&lt;span id='Title'&gt;GFEBS&lt;/span&gt;&lt;/div&gt;&lt;/div&gt;&lt;/div&gt;&lt;/div&gt;&lt;/div&gt;&lt;script&gt;var js = document.getElementById('drag').innerHTML;&lt;/script&gt;</v>
      </c>
      <c r="AA125" s="1" t="str">
        <f>CONCATENATE("var js",Table1[[#This Row],[IDs]]," = document.getElementbyId('drag",Table1[[#This Row],[IDs]],"').innerHTML; //  ",Table1[[#This Row],[Site]])</f>
        <v>var js = document.getElementbyId('drag').innerHTML; //  GFEBS</v>
      </c>
    </row>
    <row r="126" spans="1:27" ht="15" x14ac:dyDescent="0.25">
      <c r="A126" t="s">
        <v>200</v>
      </c>
      <c r="B126" t="s">
        <v>200</v>
      </c>
      <c r="C126" s="1" t="s">
        <v>935</v>
      </c>
      <c r="D126" t="s">
        <v>725</v>
      </c>
      <c r="E126" t="s">
        <v>724</v>
      </c>
      <c r="F126" s="1" t="s">
        <v>201</v>
      </c>
      <c r="G126" s="1" t="s">
        <v>900</v>
      </c>
      <c r="H126" s="1" t="s">
        <v>900</v>
      </c>
      <c r="L126" s="1" t="s">
        <v>18</v>
      </c>
      <c r="N126" s="1" t="s">
        <v>18</v>
      </c>
      <c r="W126" s="3" t="str">
        <f>CONCATENATE("var js",Table1[[#This Row],[IDs]]," = document.getElementbyId('",Table1[[#This Row],[IDs]],"').innerHTML; //  ",Table1[[#This Row],[Site]])</f>
        <v>var jsG01 = document.getElementbyId('G01').innerHTML; //  GI Suicide Prevention</v>
      </c>
      <c r="X126" s="1" t="str">
        <f>CONCATENATE("        &lt;!--",A126," - ",C126," --&gt;&lt;div class='column catAll",IF(I126="X"," catArmySites",""),IF(J126="X"," catCombatReadiness",""),IF(K126="X"," catDod",""),IF(L126="X"," catFamily",""),IF(M126="X"," catFinance",""),IF(N126="X"," catHealth",""),IF(O126="X"," catHuman",""),IF(P126="X"," catLegal",""),IF(Q126="X"," catProDev",""),IF(R126="X"," catTech",""),IF(S126="X"," catMilEd",""),IF(T126="X"," catCivEd",""),IF(U126="X"," catUsGov",""),"' style='margin-bottom: 0px;' id='",F126,"'&gt;&lt;a href='",C126,"' rel='noopener noreferrer' class='column hideMarquee'&gt;&lt;div class='armyCardContainer card'&gt;&lt;div class='armyCard'&gt;&lt;div&gt;&lt;p class='marquee'&gt;",E126,"&lt;/p&gt;",IF(H126="Yes","&lt;img src='assets/CaCRequired.png' title='A CAC is required to use some or all features of this site!' Class='cacLocked'&gt;",""),IF(G126="Yes","&lt;img src='assets/DODlock.png' title='This Site requires a DoD network connection to be used!' Class='dodLocked'&gt;",""),"&lt;img src='assets/",D126,"' class='cardImage' loading='lazy'&gt;&lt;/div&gt;&lt;div class='title'&gt;
          &lt;span&gt;",A126,"&lt;/span&gt;&lt;/div&gt;&lt;/div&gt;&lt;/div&gt;&lt;/a&gt;&lt;/div&gt;&lt;script&gt;var js",F126," = document.getElementById('",F126,"').innerHTML;&lt;/script&gt;")</f>
        <v xml:space="preserve">        &lt;!--GI Suicide Prevention - https://www.armyresilience.army.mil/suicide-prevention/index.html --&gt;&lt;div class='column catAll catFamily catHealth' style='margin-bottom: 0px;' id='G01'&gt;&lt;a href='https://www.armyresilience.army.mil/suicide-prevention/index.html' rel='noopener noreferrer' class='column hideMarquee'&gt;&lt;div class='armyCardContainer card'&gt;&lt;div class='armyCard'&gt;&lt;div&gt;&lt;p class='marquee'&gt;The Army Suicide Prevention Program (ASPP), provides resources for suicide prevention, intervention skills, and support to those impacted by the loss of a loved one to suicide to develop healthy and resilient Soldiers, reduce stigma, and build awareness of suicide and related behaviors.&lt;/p&gt;&lt;img src='assets/Card-005.png' class='cardImage' loading='lazy'&gt;&lt;/div&gt;&lt;div class='title'&gt;
          &lt;span&gt;GI Suicide Prevention&lt;/span&gt;&lt;/div&gt;&lt;/div&gt;&lt;/div&gt;&lt;/a&gt;&lt;/div&gt;&lt;script&gt;var jsG01 = document.getElementById('G01').innerHTML;&lt;/script&gt;</v>
      </c>
      <c r="Y12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GI Suicide Prevention - https://www.armyresilience.army.mil/suicide-prevention/index.html --&gt;
      &lt;summary&gt;• &lt;a href='https://www.armyresilience.army.mil/suicide-prevention/index.html' rel='noopener noreferrer'&gt;GI Suicide Prevention - https://www.armyresilience.army.mil/suicide-prevention/index.html&lt;/a&gt;&lt;/summary&gt;
      &lt;p&gt;The Army Suicide Prevention Program (ASPP), provides resources for suicide prevention, intervention skills, and support to those impacted by the loss of a loved one to suicide to develop healthy and resilient Soldiers, reduce stigma, and build awareness of suicide and related behaviors.&lt;/p&gt;
    &lt;/details&gt;</v>
      </c>
      <c r="Z126" s="1" t="str">
        <f t="shared" si="4"/>
        <v xml:space="preserve">          &lt;!-- GI Suicide Prevention - https://www.armyresilience.army.mil/suicide-prevention/index.html --&gt;&lt;div id='dragG01' class='catAll catFamily catHealth'&gt;&lt;div class='column hideMarquee' draggable='true' ondragstart='drag(event)' value='G01' id='G01'&gt;&lt;div class='armyCardContainer ssCard'&gt;&lt;div class='ssArmyCard'&gt;&lt;div&gt;&lt;p class='marquee'&gt;The Army Suicide Prevention Program (ASPP), provides resources for suicide prevention, intervention skills, and support to those impacted by the loss of a loved one to suicide to develop healthy and resilient Soldiers, reduce stigma, and build awareness of suicide and related behaviors.&lt;/p&gt;&lt;img src='assets/Card-005.png' class='ssCardImage' draggable='false' loading='lazy'&gt;&lt;/div&gt;&lt;div class='ssTitle'&gt;&lt;span id='G01Title'&gt;GI Suicide Prevention&lt;/span&gt;&lt;/div&gt;&lt;/div&gt;&lt;/div&gt;&lt;/div&gt;&lt;/div&gt;&lt;script&gt;var jsG01 = document.getElementById('dragG01').innerHTML;&lt;/script&gt;</v>
      </c>
      <c r="AA126" s="1" t="str">
        <f>CONCATENATE("var js",Table1[[#This Row],[IDs]]," = document.getElementbyId('drag",Table1[[#This Row],[IDs]],"').innerHTML; //  ",Table1[[#This Row],[Site]])</f>
        <v>var jsG01 = document.getElementbyId('dragG01').innerHTML; //  GI Suicide Prevention</v>
      </c>
    </row>
    <row r="127" spans="1:27" ht="15" hidden="1" x14ac:dyDescent="0.25">
      <c r="A127" t="s">
        <v>195</v>
      </c>
      <c r="B127" t="s">
        <v>195</v>
      </c>
      <c r="C127" s="12" t="s">
        <v>196</v>
      </c>
      <c r="D127" t="s">
        <v>727</v>
      </c>
      <c r="E127" t="s">
        <v>726</v>
      </c>
      <c r="F127" s="1" t="s">
        <v>207</v>
      </c>
      <c r="J127" s="1" t="s">
        <v>18</v>
      </c>
      <c r="W127" s="3" t="str">
        <f>CONCATENATE("var js",Table1[[#This Row],[IDs]]," = document.getElementbyId('",Table1[[#This Row],[IDs]],"').innerHTML; //  ",Table1[[#This Row],[Site]])</f>
        <v>var jsG02 = document.getElementbyId('G02').innerHTML; //  Global Combat Support System</v>
      </c>
      <c r="X127" s="1" t="str">
        <f>CONCATENATE("        &lt;!--",A127," - ",C127," --&gt;&lt;div class='column catAll",IF(I127="X"," catArmySites",""),IF(J127="X"," catCombatReadiness",""),IF(K127="X"," catDod",""),IF(L127="X"," catFamily",""),IF(M127="X"," catFinance",""),IF(N127="X"," catHealth",""),IF(O127="X"," catHuman",""),IF(P127="X"," catLegal",""),IF(Q127="X"," catProDev",""),IF(R127="X"," catTech",""),IF(S127="X"," catMilEd",""),IF(T127="X"," catCivEd",""),IF(U127="X"," catUsGov",""),"' style='margin-bottom: 0px;' id='",F127,"'&gt;&lt;a href='",C127,"' rel='noopener noreferrer' class='column hideMarquee'&gt;&lt;div class='armyCardContainer card'&gt;&lt;div class='armyCard'&gt;&lt;div&gt;&lt;p class='marquee'&gt;",E127,"&lt;/p&gt;",IF(H127="Yes","&lt;img src='assets/CaCRequired.png' title='A CAC is required to use some or all features of this site!' Class='cacLocked'&gt;",""),IF(G127="Yes","&lt;img src='assets/DODlock.png' title='This Site requires a DoD network connection to be used!' Class='dodLocked'&gt;",""),"&lt;img src='assets/",D127,"' class='cardImage' loading='lazy'&gt;&lt;/div&gt;&lt;div class='title'&gt;&lt;span&gt;",A127,"&lt;/span&gt;&lt;/div&gt;&lt;/div&gt;&lt;/div&gt;&lt;/a&gt;&lt;/div&gt;&lt;script&gt;var js",F127," = document.getElementbyId('",F127,"').innerHTML;&lt;/script&gt;")</f>
        <v xml:space="preserve">        &lt;!--Global Combat Support System - https://www.gcss-army.army.mil/irj/portal --&gt;&lt;div class='column catAll catCombatReadiness' style='margin-bottom: 0px;' id='G02'&gt;&lt;a href='https://www.gcss-army.army.mil/irj/portal' rel='noopener noreferrer' class='column hideMarquee'&gt;&lt;div class='armyCardContainer card'&gt;&lt;div class='armyCard'&gt;&lt;div&gt;&lt;p class='marquee'&gt;Global Combat Support System - Army (GCSS-Army) is one program with two components. The first component, GCSS-Army Enterprise Resource Planning (ERP) Solution, is an automated information system that serves as the primary tactical logistics enabler supporting Army and joint transformation for sustainment. The program re-engineers current business processes to achieve end-to-end logistics and integration with applicable command and control (C2) and joint systems. &lt;br&gt;The second component, Army Enterprise Systems Integration Program (AESIP), integrates Army business functions by providing a single source for enterprise hub services, master data and business intelligence. GCSS-Army uses Commercial Off-The-Shelf ERP software products to support rapid force projection in the battlefield functional areas of arming, fixing, fueling, sustaining and tactical logistics financial processes.&lt;/p&gt;&lt;img src='assets/Card-112.png' class='cardImage' loading='lazy'&gt;&lt;/div&gt;&lt;div class='title'&gt;&lt;span&gt;Global Combat Support System&lt;/span&gt;&lt;/div&gt;&lt;/div&gt;&lt;/div&gt;&lt;/a&gt;&lt;/div&gt;&lt;script&gt;var jsG02 = document.getElementbyId('G02').innerHTML;&lt;/script&gt;</v>
      </c>
      <c r="Y12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Global Combat Support System - https://www.gcss-army.army.mil/irj/portal --&gt;
      &lt;summary&gt;• &lt;a href='https://www.gcss-army.army.mil/irj/portal' rel='noopener noreferrer'&gt;Global Combat Support System - https://www.gcss-army.army.mil/irj/portal&lt;/a&gt;&lt;/summary&gt;
      &lt;p&gt;Global Combat Support System - Army (GCSS-Army) is one program with two components. The first component, GCSS-Army Enterprise Resource Planning (ERP) Solution, is an automated information system that serves as the primary tactical logistics enabler supporting Army and joint transformation for sustainment. The program re-engineers current business processes to achieve end-to-end logistics and integration with applicable command and control (C2) and joint systems. &lt;br&gt;The second component, Army Enterprise Systems Integration Program (AESIP), integrates Army business functions by providing a single source for enterprise hub services, master data and business intelligence. GCSS-Army uses Commercial Off-The-Shelf ERP software products to support rapid force projection in the battlefield functional areas of arming, fixing, fueling, sustaining and tactical logistics financial processes.&lt;/p&gt;
    &lt;/details&gt;</v>
      </c>
      <c r="Z127" s="1" t="str">
        <f t="shared" si="4"/>
        <v xml:space="preserve">          &lt;!-- Global Combat Support System - https://www.gcss-army.army.mil/irj/portal --&gt;&lt;div id='dragG02' class='catAll catCombatReadiness'&gt;&lt;div class='column hideMarquee' draggable='true' ondragstart='drag(event)' value='G02' id='G02'&gt;&lt;div class='armyCardContainer ssCard'&gt;&lt;div class='ssArmyCard'&gt;&lt;div&gt;&lt;p class='marquee'&gt;Global Combat Support System - Army (GCSS-Army) is one program with two components. The first component, GCSS-Army Enterprise Resource Planning (ERP) Solution, is an automated information system that serves as the primary tactical logistics enabler supporting Army and joint transformation for sustainment. The program re-engineers current business processes to achieve end-to-end logistics and integration with applicable command and control (C2) and joint systems. &lt;br&gt;The second component, Army Enterprise Systems Integration Program (AESIP), integrates Army business functions by providing a single source for enterprise hub services, master data and business intelligence. GCSS-Army uses Commercial Off-The-Shelf ERP software products to support rapid force projection in the battlefield functional areas of arming, fixing, fueling, sustaining and tactical logistics financial processes.&lt;/p&gt;&lt;img src='assets/Card-112.png' class='ssCardImage' draggable='false' loading='lazy'&gt;&lt;/div&gt;&lt;div class='ssTitle'&gt;&lt;span id='G02Title'&gt;Global Combat Support System&lt;/span&gt;&lt;/div&gt;&lt;/div&gt;&lt;/div&gt;&lt;/div&gt;&lt;/div&gt;&lt;script&gt;var jsG02 = document.getElementById('dragG02').innerHTML;&lt;/script&gt;</v>
      </c>
      <c r="AA127" s="1" t="str">
        <f>CONCATENATE("var js",Table1[[#This Row],[IDs]]," = document.getElementbyId('drag",Table1[[#This Row],[IDs]],"').innerHTML; //  ",Table1[[#This Row],[Site]])</f>
        <v>var jsG02 = document.getElementbyId('dragG02').innerHTML; //  Global Combat Support System</v>
      </c>
    </row>
    <row r="128" spans="1:27" ht="15" x14ac:dyDescent="0.25">
      <c r="A128" s="1" t="s">
        <v>1047</v>
      </c>
      <c r="B128" t="s">
        <v>1048</v>
      </c>
      <c r="C128" s="1" t="s">
        <v>202</v>
      </c>
      <c r="D128" t="s">
        <v>728</v>
      </c>
      <c r="E128" t="s">
        <v>1058</v>
      </c>
      <c r="F128" s="1" t="s">
        <v>210</v>
      </c>
      <c r="G128" s="1" t="s">
        <v>900</v>
      </c>
      <c r="H128" s="1" t="s">
        <v>552</v>
      </c>
      <c r="O128" s="1" t="s">
        <v>18</v>
      </c>
      <c r="W128" s="3" t="str">
        <f>CONCATENATE("var js",Table1[[#This Row],[IDs]]," = document.getElementbyId('",Table1[[#This Row],[IDs]],"').innerHTML; //  ",Table1[[#This Row],[Site]])</f>
        <v>var jsG03 = document.getElementbyId('G03').innerHTML; //  Global Electronic Approval Routing System (Purple - Legacy)</v>
      </c>
      <c r="X128" s="1" t="str">
        <f>CONCATENATE("        &lt;!--",A128," - ",C128," --&gt;&lt;div class='column catAll",IF(I128="X"," catArmySites",""),IF(J128="X"," catCombatReadiness",""),IF(K128="X"," catDod",""),IF(L128="X"," catFamily",""),IF(M128="X"," catFinance",""),IF(N128="X"," catHealth",""),IF(O128="X"," catHuman",""),IF(P128="X"," catLegal",""),IF(Q128="X"," catProDev",""),IF(R128="X"," catTech",""),IF(S128="X"," catMilEd",""),IF(T128="X"," catCivEd",""),IF(U128="X"," catUsGov",""),"' style='margin-bottom: 0px;' id='",F128,"'&gt;&lt;a href='",C128,"' rel='noopener noreferrer' class='column hideMarquee'&gt;&lt;div class='armyCardContainer card'&gt;&lt;div class='armyCard'&gt;&lt;div&gt;&lt;p class='marquee'&gt;",E128,"&lt;/p&gt;",IF(H128="Yes","&lt;img src='assets/CaCRequired.png' title='A CAC is required to use some or all features of this site!' Class='cacLocked'&gt;",""),IF(G128="Yes","&lt;img src='assets/DODlock.png' title='This Site requires a DoD network connection to be used!' Class='dodLocked'&gt;",""),"&lt;img src='assets/",D128,"' class='cardImage' loading='lazy'&gt;&lt;/div&gt;&lt;div class='title'&gt;
          &lt;span&gt;",A128,"&lt;/span&gt;&lt;/div&gt;&lt;/div&gt;&lt;/div&gt;&lt;/a&gt;&lt;/div&gt;&lt;script&gt;var js",F128," = document.getElementById('",F128,"').innerHTML;&lt;/script&gt;")</f>
        <v xml:space="preserve">        &lt;!--Global Electronic Approval Routing System (Purple - Legacy) - https://army.deps.mil/netcom/sites/GEARS/Live --&gt;&lt;div class='column catAll catHuman' style='margin-bottom: 0px;' id='G03'&gt;&lt;a href='https://army.deps.mil/netcom/sites/GEARS/Live' rel='noopener noreferrer' class='column hideMarquee'&gt;&lt;div class='armyCardContainer card'&gt;&lt;div class='armyCard'&gt;&lt;div&gt;&lt;p class='marquee'&gt;This is a Legacy Card, Some or all of its funcions may no longer be avalible.&lt;br&gt;GEARS is an automated packet/document routing and tracking system built on SharePoint that implements global management of business processes.&lt;/p&gt;&lt;img src='assets/CaCRequired.png' title='A CAC is required to use some or all features of this site!' Class='cacLocked'&gt;&lt;img src='assets/Card-110.png' class='cardImage' loading='lazy'&gt;&lt;/div&gt;&lt;div class='title'&gt;
          &lt;span&gt;Global Electronic Approval Routing System (Purple - Legacy)&lt;/span&gt;&lt;/div&gt;&lt;/div&gt;&lt;/div&gt;&lt;/a&gt;&lt;/div&gt;&lt;script&gt;var jsG03 = document.getElementById('G03').innerHTML;&lt;/script&gt;</v>
      </c>
      <c r="Y12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Global Electronic Approval Routing System (Purple - Legacy) - https://army.deps.mil/netcom/sites/GEARS/Live --&gt;
      &lt;summary&gt;• &lt;a href='https://army.deps.mil/netcom/sites/GEARS/Live' rel='noopener noreferrer'&gt;Global Electronic Approval Routing System (Purple - Legacy) - https://army.deps.mil/netcom/sites/GEARS/Live&lt;/a&gt;&lt;/summary&gt;
      &lt;p&gt;This is a Legacy Card, Some or all of its funcions may no longer be avalible.&lt;br&gt;GEARS is an automated packet/document routing and tracking system built on SharePoint that implements global management of business processes.&lt;/p&gt;
    &lt;/details&gt;</v>
      </c>
      <c r="Z128" s="1" t="str">
        <f t="shared" si="4"/>
        <v xml:space="preserve">          &lt;!-- Global Electronic Approval Routing System&lt;br&gt;(Purple - Legacy) - https://army.deps.mil/netcom/sites/GEARS/Live --&gt;&lt;div id='dragG03' class='catAll catHuman'&gt;&lt;div class='column hideMarquee' draggable='true' ondragstart='drag(event)' value='G03' id='G03'&gt;&lt;div class='armyCardContainer ssCard'&gt;&lt;div class='ssArmyCard'&gt;&lt;div&gt;&lt;p class='marquee'&gt;This is a Legacy Card, Some or all of its funcions may no longer be avalible.&lt;br&gt;GEARS is an automated packet/document routing and tracking system built on SharePoint that implements global management of business processes.&lt;/p&gt;&lt;img src='assets/Card-110.png' class='ssCardImage' draggable='false' loading='lazy'&gt;&lt;/div&gt;&lt;div class='ssTitle'&gt;&lt;span id='G03Title'&gt;Global Electronic Approval Routing System (Purple - Legacy)&lt;/span&gt;&lt;/div&gt;&lt;/div&gt;&lt;/div&gt;&lt;/div&gt;&lt;/div&gt;&lt;script&gt;var jsG03 = document.getElementById('dragG03').innerHTML;&lt;/script&gt;</v>
      </c>
      <c r="AA128" s="1" t="str">
        <f>CONCATENATE("var js",Table1[[#This Row],[IDs]]," = document.getElementbyId('drag",Table1[[#This Row],[IDs]],"').innerHTML; //  ",Table1[[#This Row],[Site]])</f>
        <v>var jsG03 = document.getElementbyId('dragG03').innerHTML; //  Global Electronic Approval Routing System (Purple - Legacy)</v>
      </c>
    </row>
    <row r="129" spans="1:27" ht="15" x14ac:dyDescent="0.25">
      <c r="A129" s="1" t="s">
        <v>1045</v>
      </c>
      <c r="B129" t="s">
        <v>1050</v>
      </c>
      <c r="C129" s="1" t="s">
        <v>203</v>
      </c>
      <c r="D129" t="s">
        <v>729</v>
      </c>
      <c r="E129" t="s">
        <v>1058</v>
      </c>
      <c r="F129" s="1" t="s">
        <v>405</v>
      </c>
      <c r="G129" s="1" t="s">
        <v>900</v>
      </c>
      <c r="H129" s="1" t="s">
        <v>552</v>
      </c>
      <c r="O129" s="1" t="s">
        <v>18</v>
      </c>
      <c r="W129" s="3" t="str">
        <f>CONCATENATE("var js",Table1[[#This Row],[IDs]]," = document.getElementbyId('",Table1[[#This Row],[IDs]],"').innerHTML; //  ",Table1[[#This Row],[Site]])</f>
        <v>var jsG04 = document.getElementbyId('G04').innerHTML; //  Global Electronic Approval Routing System 5 (Yellow - Legacy)</v>
      </c>
      <c r="X129" s="1" t="str">
        <f>CONCATENATE("        &lt;!--",A129," - ",C129," --&gt;&lt;div class='column catAll",IF(I129="X"," catArmySites",""),IF(J129="X"," catCombatReadiness",""),IF(K129="X"," catDod",""),IF(L129="X"," catFamily",""),IF(M129="X"," catFinance",""),IF(N129="X"," catHealth",""),IF(O129="X"," catHuman",""),IF(P129="X"," catLegal",""),IF(Q129="X"," catProDev",""),IF(R129="X"," catTech",""),IF(S129="X"," catMilEd",""),IF(T129="X"," catCivEd",""),IF(U129="X"," catUsGov",""),"' style='margin-bottom: 0px;' id='",F129,"'&gt;&lt;a href='",C129,"' rel='noopener noreferrer' class='column hideMarquee'&gt;&lt;div class='armyCardContainer card'&gt;&lt;div class='armyCard'&gt;&lt;div&gt;&lt;p class='marquee'&gt;",E129,"&lt;/p&gt;",IF(H129="Yes","&lt;img src='assets/CaCRequired.png' title='A CAC is required to use some or all features of this site!' Class='cacLocked'&gt;",""),IF(G129="Yes","&lt;img src='assets/DODlock.png' title='This Site requires a DoD network connection to be used!' Class='dodLocked'&gt;",""),"&lt;img src='assets/",D129,"' class='cardImage' loading='lazy'&gt;&lt;/div&gt;&lt;div class='title'&gt;
          &lt;span&gt;",A129,"&lt;/span&gt;&lt;/div&gt;&lt;/div&gt;&lt;/div&gt;&lt;/a&gt;&lt;/div&gt;&lt;script&gt;var js",F129," = document.getElementById('",F129,"').innerHTML;&lt;/script&gt;")</f>
        <v xml:space="preserve">        &lt;!--Global Electronic Approval Routing System 5 (Yellow - Legacy) - https://army.deps.mil/netcom/sites/GEARS5/Live  --&gt;&lt;div class='column catAll catHuman' style='margin-bottom: 0px;' id='G04'&gt;&lt;a href='https://army.deps.mil/netcom/sites/GEARS5/Live ' rel='noopener noreferrer' class='column hideMarquee'&gt;&lt;div class='armyCardContainer card'&gt;&lt;div class='armyCard'&gt;&lt;div&gt;&lt;p class='marquee'&gt;This is a Legacy Card, Some or all of its funcions may no longer be avalible.&lt;br&gt;GEARS is an automated packet/document routing and tracking system built on SharePoint that implements global management of business processes.&lt;/p&gt;&lt;img src='assets/CaCRequired.png' title='A CAC is required to use some or all features of this site!' Class='cacLocked'&gt;&lt;img src='assets/Card-108.png' class='cardImage' loading='lazy'&gt;&lt;/div&gt;&lt;div class='title'&gt;
          &lt;span&gt;Global Electronic Approval Routing System 5 (Yellow - Legacy)&lt;/span&gt;&lt;/div&gt;&lt;/div&gt;&lt;/div&gt;&lt;/a&gt;&lt;/div&gt;&lt;script&gt;var jsG04 = document.getElementById('G04').innerHTML;&lt;/script&gt;</v>
      </c>
      <c r="Y12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Global Electronic Approval Routing System 5 (Yellow - Legacy) - https://army.deps.mil/netcom/sites/GEARS5/Live  --&gt;
      &lt;summary&gt;• &lt;a href='https://army.deps.mil/netcom/sites/GEARS5/Live ' rel='noopener noreferrer'&gt;Global Electronic Approval Routing System 5 (Yellow - Legacy) - https://army.deps.mil/netcom/sites/GEARS5/Live &lt;/a&gt;&lt;/summary&gt;
      &lt;p&gt;This is a Legacy Card, Some or all of its funcions may no longer be avalible.&lt;br&gt;GEARS is an automated packet/document routing and tracking system built on SharePoint that implements global management of business processes.&lt;/p&gt;
    &lt;/details&gt;</v>
      </c>
      <c r="Z129" s="1" t="str">
        <f t="shared" si="4"/>
        <v xml:space="preserve">          &lt;!-- Global Electronic Approval Routing System 5&lt;br&gt;(Yellow - Legacy) - https://army.deps.mil/netcom/sites/GEARS5/Live  --&gt;&lt;div id='dragG04' class='catAll catHuman'&gt;&lt;div class='column hideMarquee' draggable='true' ondragstart='drag(event)' value='G04' id='G04'&gt;&lt;div class='armyCardContainer ssCard'&gt;&lt;div class='ssArmyCard'&gt;&lt;div&gt;&lt;p class='marquee'&gt;This is a Legacy Card, Some or all of its funcions may no longer be avalible.&lt;br&gt;GEARS is an automated packet/document routing and tracking system built on SharePoint that implements global management of business processes.&lt;/p&gt;&lt;img src='assets/Card-108.png' class='ssCardImage' draggable='false' loading='lazy'&gt;&lt;/div&gt;&lt;div class='ssTitle'&gt;&lt;span id='G04Title'&gt;Global Electronic Approval Routing System 5 (Yellow - Legacy)&lt;/span&gt;&lt;/div&gt;&lt;/div&gt;&lt;/div&gt;&lt;/div&gt;&lt;/div&gt;&lt;script&gt;var jsG04 = document.getElementById('dragG04').innerHTML;&lt;/script&gt;</v>
      </c>
      <c r="AA129" s="1" t="str">
        <f>CONCATENATE("var js",Table1[[#This Row],[IDs]]," = document.getElementbyId('drag",Table1[[#This Row],[IDs]],"').innerHTML; //  ",Table1[[#This Row],[Site]])</f>
        <v>var jsG04 = document.getElementbyId('dragG04').innerHTML; //  Global Electronic Approval Routing System 5 (Yellow - Legacy)</v>
      </c>
    </row>
    <row r="130" spans="1:27" ht="15" hidden="1" x14ac:dyDescent="0.25">
      <c r="A130" s="1" t="s">
        <v>1062</v>
      </c>
      <c r="B130" s="1" t="s">
        <v>1062</v>
      </c>
      <c r="C130" s="1" t="s">
        <v>1067</v>
      </c>
      <c r="D130" s="1" t="s">
        <v>639</v>
      </c>
      <c r="G130" s="2"/>
      <c r="W130" s="3" t="str">
        <f>CONCATENATE("var js",Table1[[#This Row],[IDs]]," = document.getElementbyId('",Table1[[#This Row],[IDs]],"').innerHTML; //  ",Table1[[#This Row],[Site]])</f>
        <v>var js = document.getElementbyId('').innerHTML; //  Global Electronic Approval Routing System 6 (GEARS - VI)</v>
      </c>
      <c r="X130" s="1" t="str">
        <f>CONCATENATE("        &lt;!--",A130," - ",C130," --&gt;
        &lt;div class='column catAll",IF(I130="X"," catArmySites",""),IF(J130="X"," catCombatReadiness",""),IF(K130="X"," catDod",""),IF(L130="X"," catFamily",""),IF(M130="X"," catFinance",""),IF(N130="X"," catHealth",""),IF(O130="X"," catHuman",""),IF(P130="X"," catLegal",""),IF(Q130="X"," catProDev",""),IF(R130="X"," catTech",""),IF(S130="X"," catMilEd",""),IF(T130="X"," catCivEd",""),IF(U130="X"," catUsGov",""),"' style='margin-bottom: 0px;' id='",F130,"'&gt;
          &lt;a href='",C130,"' rel='noopener noreferrer' class='column hideMarquee'&gt;
            &lt;div class='armyCardContainer card'&gt;
              &lt;div class='armyCard'&gt;
                &lt;div&gt;
                  &lt;p class='marquee'&gt;",E130,"&lt;/p&gt;",
IF(H130="Yes","									&lt;img src='assets/CaCRequired.png'  title='A CAC is required to use some or all features of this site!' Class='cacLocked'&gt;
",""),IF(G130="Yes","									&lt;img src='assets/DODlock.png' title='This Site requires a DoD network connection to be used!' Class='dodLocked'&gt;
",""),"
                  &lt;img src='assets/",D130,"' class='cardImage' loading='lazy'&gt;
                &lt;/div&gt;
                &lt;div class='title'&gt;
                  &lt;span&gt;",A130,"&lt;/span&gt;
                &lt;/div&gt;
              &lt;/div&gt;
            &lt;/div&gt;
          &lt;/a&gt;
        &lt;/div&gt;")</f>
        <v xml:space="preserve">        &lt;!--Global Electronic Approval Routing System 6 (GEARS - VI) - https://gears.army.mil/ --&gt;
        &lt;div class='column catAll' style='margin-bottom: 0px;' id=''&gt;
          &lt;a href='https://gears.army.mil/' rel='noopener noreferrer' class='column hideMarquee'&gt;
            &lt;div class='armyCardContainer card'&gt;
              &lt;div class='armyCard'&gt;
                &lt;div&gt;
                  &lt;p class='marquee'&gt;&lt;/p&gt;
                  &lt;img src='assets/Card-000.gif' class='cardImage' loading='lazy'&gt;
                &lt;/div&gt;
                &lt;div class='title'&gt;
                  &lt;span&gt;Global Electronic Approval Routing System 6 (GEARS - VI)&lt;/span&gt;
                &lt;/div&gt;
              &lt;/div&gt;
            &lt;/div&gt;
          &lt;/a&gt;
        &lt;/div&gt;</v>
      </c>
      <c r="Y13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Global Electronic Approval Routing System 6 (GEARS - VI) - https://gears.army.mil/ --&gt;
      &lt;summary&gt;• &lt;a href='https://gears.army.mil/' rel='noopener noreferrer'&gt;Global Electronic Approval Routing System 6 (GEARS - VI) - https://gears.army.mil/&lt;/a&gt;&lt;/summary&gt;
      &lt;p&gt;&lt;/p&gt;
    &lt;/details&gt;</v>
      </c>
      <c r="Z130" s="1" t="str">
        <f t="shared" ref="Z130:Z193" si="8">CONCATENATE("          &lt;!-- ",B130," - ",C130," --&gt;&lt;div id='drag",F130,"' class='catAll",IF(I130="X"," catArmySites",""),IF(J130="X"," catCombatReadiness",""),IF(K130="X"," catDod",""),IF(L130="X"," catFamily",""),IF(M130="X"," catFinance",""),IF(N130="X"," catHealth",""),IF(O130="X"," catHuman",""),IF(P130="X"," catLegal",""),IF(Q130="X"," catProDev",""),IF(R130="X"," catTech",""),IF(S130="X"," catMilEd",""),IF(T130="X"," catCivEd",""),IF(U130="X"," catUsGov",""),"'&gt;&lt;div class='column hideMarquee' draggable='true' ondragstart='drag(event)' value='",F130,"' id='",F130,"'&gt;&lt;div class='armyCardContainer ssCard'&gt;&lt;div class='ssArmyCard'&gt;&lt;div&gt;&lt;p class='marquee'&gt;",E130,"&lt;/p&gt;&lt;img src='assets/",D130,"' class='ssCardImage' draggable='false' loading='lazy'&gt;&lt;/div&gt;&lt;div class='ssTitle'&gt;&lt;span id='",F130,"Title'&gt;",A130,"&lt;/span&gt;&lt;/div&gt;&lt;/div&gt;&lt;/div&gt;&lt;/div&gt;&lt;/div&gt;&lt;script&gt;var js",F130," = document.getElementById('drag",F130,"').innerHTML;&lt;/script&gt;")</f>
        <v xml:space="preserve">          &lt;!-- Global Electronic Approval Routing System 6 (GEARS - VI) - https://gears.army.mil/ --&gt;&lt;div id='drag' class='catAll'&gt;&lt;div class='column hideMarquee' draggable='true' ondragstart='drag(event)' value='' id=''&gt;&lt;div class='armyCardContainer ssCard'&gt;&lt;div class='ssArmyCard'&gt;&lt;div&gt;&lt;p class='marquee'&gt;&lt;/p&gt;&lt;img src='assets/Card-000.gif' class='ssCardImage' draggable='false' loading='lazy'&gt;&lt;/div&gt;&lt;div class='ssTitle'&gt;&lt;span id='Title'&gt;Global Electronic Approval Routing System 6 (GEARS - VI)&lt;/span&gt;&lt;/div&gt;&lt;/div&gt;&lt;/div&gt;&lt;/div&gt;&lt;/div&gt;&lt;script&gt;var js = document.getElementById('drag').innerHTML;&lt;/script&gt;</v>
      </c>
      <c r="AA130" s="1" t="str">
        <f>CONCATENATE("var js",Table1[[#This Row],[IDs]]," = document.getElementbyId('drag",Table1[[#This Row],[IDs]],"').innerHTML; //  ",Table1[[#This Row],[Site]])</f>
        <v>var js = document.getElementbyId('drag').innerHTML; //  Global Electronic Approval Routing System 6 (GEARS - VI)</v>
      </c>
    </row>
    <row r="131" spans="1:27" ht="15" x14ac:dyDescent="0.25">
      <c r="A131" s="1" t="s">
        <v>1046</v>
      </c>
      <c r="B131" t="s">
        <v>1049</v>
      </c>
      <c r="C131" s="1" t="s">
        <v>204</v>
      </c>
      <c r="D131" t="s">
        <v>730</v>
      </c>
      <c r="E131" t="s">
        <v>1058</v>
      </c>
      <c r="F131" s="1" t="s">
        <v>406</v>
      </c>
      <c r="G131" s="1" t="s">
        <v>900</v>
      </c>
      <c r="H131" s="1" t="s">
        <v>552</v>
      </c>
      <c r="O131" s="1" t="s">
        <v>18</v>
      </c>
      <c r="W131" s="3" t="str">
        <f>CONCATENATE("var js",Table1[[#This Row],[IDs]]," = document.getElementbyId('",Table1[[#This Row],[IDs]],"').innerHTML; //  ",Table1[[#This Row],[Site]])</f>
        <v>var jsG05 = document.getElementbyId('G05').innerHTML; //  Global Electronic Approval Routing System V (Red - Legacy)</v>
      </c>
      <c r="X131" s="1" t="str">
        <f>CONCATENATE("        &lt;!--",A131," - ",C131," --&gt;&lt;div class='column catAll",IF(I131="X"," catArmySites",""),IF(J131="X"," catCombatReadiness",""),IF(K131="X"," catDod",""),IF(L131="X"," catFamily",""),IF(M131="X"," catFinance",""),IF(N131="X"," catHealth",""),IF(O131="X"," catHuman",""),IF(P131="X"," catLegal",""),IF(Q131="X"," catProDev",""),IF(R131="X"," catTech",""),IF(S131="X"," catMilEd",""),IF(T131="X"," catCivEd",""),IF(U131="X"," catUsGov",""),"' style='margin-bottom: 0px;' id='",F131,"'&gt;&lt;a href='",C131,"' rel='noopener noreferrer' class='column hideMarquee'&gt;&lt;div class='armyCardContainer card'&gt;&lt;div class='armyCard'&gt;&lt;div&gt;&lt;p class='marquee'&gt;",E131,"&lt;/p&gt;",IF(H131="Yes","&lt;img src='assets/CaCRequired.png' title='A CAC is required to use some or all features of this site!' Class='cacLocked'&gt;",""),IF(G131="Yes","&lt;img src='assets/DODlock.png' title='This Site requires a DoD network connection to be used!' Class='dodLocked'&gt;",""),"&lt;img src='assets/",D131,"' class='cardImage' loading='lazy'&gt;&lt;/div&gt;&lt;div class='title'&gt;
          &lt;span&gt;",A131,"&lt;/span&gt;&lt;/div&gt;&lt;/div&gt;&lt;/div&gt;&lt;/a&gt;&lt;/div&gt;&lt;script&gt;var js",F131," = document.getElementById('",F131,"').innerHTML;&lt;/script&gt;")</f>
        <v xml:space="preserve">        &lt;!--Global Electronic Approval Routing System V (Red - Legacy) - https://army.deps.mil/netcom/sites/GEARSV/Live --&gt;&lt;div class='column catAll catHuman' style='margin-bottom: 0px;' id='G05'&gt;&lt;a href='https://army.deps.mil/netcom/sites/GEARSV/Live' rel='noopener noreferrer' class='column hideMarquee'&gt;&lt;div class='armyCardContainer card'&gt;&lt;div class='armyCard'&gt;&lt;div&gt;&lt;p class='marquee'&gt;This is a Legacy Card, Some or all of its funcions may no longer be avalible.&lt;br&gt;GEARS is an automated packet/document routing and tracking system built on SharePoint that implements global management of business processes.&lt;/p&gt;&lt;img src='assets/CaCRequired.png' title='A CAC is required to use some or all features of this site!' Class='cacLocked'&gt;&lt;img src='assets/Card-109.png' class='cardImage' loading='lazy'&gt;&lt;/div&gt;&lt;div class='title'&gt;
          &lt;span&gt;Global Electronic Approval Routing System V (Red - Legacy)&lt;/span&gt;&lt;/div&gt;&lt;/div&gt;&lt;/div&gt;&lt;/a&gt;&lt;/div&gt;&lt;script&gt;var jsG05 = document.getElementById('G05').innerHTML;&lt;/script&gt;</v>
      </c>
      <c r="Y13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Global Electronic Approval Routing System V (Red - Legacy) - https://army.deps.mil/netcom/sites/GEARSV/Live --&gt;
      &lt;summary&gt;• &lt;a href='https://army.deps.mil/netcom/sites/GEARSV/Live' rel='noopener noreferrer'&gt;Global Electronic Approval Routing System V (Red - Legacy) - https://army.deps.mil/netcom/sites/GEARSV/Live&lt;/a&gt;&lt;/summary&gt;
      &lt;p&gt;This is a Legacy Card, Some or all of its funcions may no longer be avalible.&lt;br&gt;GEARS is an automated packet/document routing and tracking system built on SharePoint that implements global management of business processes.&lt;/p&gt;
    &lt;/details&gt;</v>
      </c>
      <c r="Z131" s="1" t="str">
        <f t="shared" si="8"/>
        <v xml:space="preserve">          &lt;!-- Global Electronic Approval Routing System V&lt;br&gt;(Red - Legacy) - https://army.deps.mil/netcom/sites/GEARSV/Live --&gt;&lt;div id='dragG05' class='catAll catHuman'&gt;&lt;div class='column hideMarquee' draggable='true' ondragstart='drag(event)' value='G05' id='G05'&gt;&lt;div class='armyCardContainer ssCard'&gt;&lt;div class='ssArmyCard'&gt;&lt;div&gt;&lt;p class='marquee'&gt;This is a Legacy Card, Some or all of its funcions may no longer be avalible.&lt;br&gt;GEARS is an automated packet/document routing and tracking system built on SharePoint that implements global management of business processes.&lt;/p&gt;&lt;img src='assets/Card-109.png' class='ssCardImage' draggable='false' loading='lazy'&gt;&lt;/div&gt;&lt;div class='ssTitle'&gt;&lt;span id='G05Title'&gt;Global Electronic Approval Routing System V (Red - Legacy)&lt;/span&gt;&lt;/div&gt;&lt;/div&gt;&lt;/div&gt;&lt;/div&gt;&lt;/div&gt;&lt;script&gt;var jsG05 = document.getElementById('dragG05').innerHTML;&lt;/script&gt;</v>
      </c>
      <c r="AA131" s="1" t="str">
        <f>CONCATENATE("var js",Table1[[#This Row],[IDs]]," = document.getElementbyId('drag",Table1[[#This Row],[IDs]],"').innerHTML; //  ",Table1[[#This Row],[Site]])</f>
        <v>var jsG05 = document.getElementbyId('dragG05').innerHTML; //  Global Electronic Approval Routing System V (Red - Legacy)</v>
      </c>
    </row>
    <row r="132" spans="1:27" ht="15" hidden="1" x14ac:dyDescent="0.25">
      <c r="A132" t="s">
        <v>430</v>
      </c>
      <c r="B132" t="s">
        <v>430</v>
      </c>
      <c r="C132" s="12" t="s">
        <v>451</v>
      </c>
      <c r="D132" t="s">
        <v>639</v>
      </c>
      <c r="E132"/>
      <c r="F132" s="1" t="s">
        <v>432</v>
      </c>
      <c r="W132" s="3" t="str">
        <f>CONCATENATE("var js",Table1[[#This Row],[IDs]]," = document.getElementbyId('",Table1[[#This Row],[IDs]],"').innerHTML; //  ",Table1[[#This Row],[Site]])</f>
        <v>var jsG09 = document.getElementbyId('G09').innerHTML; //  Global Federated User Directory (GFUD)</v>
      </c>
      <c r="X132" s="1" t="str">
        <f>CONCATENATE("        &lt;!--",A132," - ",C132," --&gt;
        &lt;div class='column catAll",IF(I132="X"," catArmySites",""),IF(J132="X"," catCombatReadiness",""),IF(K132="X"," catDod",""),IF(L132="X"," catFamily",""),IF(M132="X"," catFinance",""),IF(N132="X"," catHealth",""),IF(O132="X"," catHuman",""),IF(P132="X"," catLegal",""),IF(Q132="X"," catProDev",""),IF(R132="X"," catTech",""),IF(S132="X"," catMilEd",""),IF(T132="X"," catCivEd",""),IF(U132="X"," catUsGov",""),"' style='margin-bottom: 0px;' id='",F132,"'&gt;
          &lt;a href='",C132,"' rel='noopener noreferrer' class='column hideMarquee'&gt;
            &lt;div class='armyCardContainer card'&gt;
              &lt;div class='armyCard'&gt;
                &lt;div&gt;
                  &lt;p class='marquee'&gt;",E132,"&lt;/p&gt;",
IF(H132="Yes","									&lt;img src='assets/CaCRequired.png'  title='A CAC is required to use some or all features of this site!' Class='cacLocked'&gt;
",""),IF(G132="Yes","									&lt;img src='assets/DODlock.png' title='This Site requires a DoD network connection to be used!' Class='dodLocked'&gt;
",""),"
                  &lt;img src='assets/",D132,"' class='cardImage' loading='lazy'&gt;
                &lt;/div&gt;
                &lt;div class='title'&gt;
                  &lt;span&gt;",A132,"&lt;/span&gt;
                &lt;/div&gt;
              &lt;/div&gt;
            &lt;/div&gt;
          &lt;/a&gt;
        &lt;/div&gt;")</f>
        <v xml:space="preserve">        &lt;!--Global Federated User Directory (GFUD) - https://portal.apps.deas.mil/ --&gt;
        &lt;div class='column catAll' style='margin-bottom: 0px;' id='G09'&gt;
          &lt;a href='https://portal.apps.deas.mil/' rel='noopener noreferrer' class='column hideMarquee'&gt;
            &lt;div class='armyCardContainer card'&gt;
              &lt;div class='armyCard'&gt;
                &lt;div&gt;
                  &lt;p class='marquee'&gt;&lt;/p&gt;
                  &lt;img src='assets/Card-000.gif' class='cardImage' loading='lazy'&gt;
                &lt;/div&gt;
                &lt;div class='title'&gt;
                  &lt;span&gt;Global Federated User Directory (GFUD)&lt;/span&gt;
                &lt;/div&gt;
              &lt;/div&gt;
            &lt;/div&gt;
          &lt;/a&gt;
        &lt;/div&gt;</v>
      </c>
      <c r="Y13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Global Federated User Directory (GFUD) - https://portal.apps.deas.mil/ --&gt;
      &lt;summary&gt;• &lt;a href='https://portal.apps.deas.mil/' rel='noopener noreferrer'&gt;Global Federated User Directory (GFUD) - https://portal.apps.deas.mil/&lt;/a&gt;&lt;/summary&gt;
      &lt;p&gt;&lt;/p&gt;
    &lt;/details&gt;</v>
      </c>
      <c r="Z132" s="1" t="str">
        <f t="shared" si="8"/>
        <v xml:space="preserve">          &lt;!-- Global Federated User Directory (GFUD) - https://portal.apps.deas.mil/ --&gt;&lt;div id='dragG09' class='catAll'&gt;&lt;div class='column hideMarquee' draggable='true' ondragstart='drag(event)' value='G09' id='G09'&gt;&lt;div class='armyCardContainer ssCard'&gt;&lt;div class='ssArmyCard'&gt;&lt;div&gt;&lt;p class='marquee'&gt;&lt;/p&gt;&lt;img src='assets/Card-000.gif' class='ssCardImage' draggable='false' loading='lazy'&gt;&lt;/div&gt;&lt;div class='ssTitle'&gt;&lt;span id='G09Title'&gt;Global Federated User Directory (GFUD)&lt;/span&gt;&lt;/div&gt;&lt;/div&gt;&lt;/div&gt;&lt;/div&gt;&lt;/div&gt;&lt;script&gt;var jsG09 = document.getElementById('dragG09').innerHTML;&lt;/script&gt;</v>
      </c>
      <c r="AA132" s="1" t="str">
        <f>CONCATENATE("var js",Table1[[#This Row],[IDs]]," = document.getElementbyId('drag",Table1[[#This Row],[IDs]],"').innerHTML; //  ",Table1[[#This Row],[Site]])</f>
        <v>var jsG09 = document.getElementbyId('dragG09').innerHTML; //  Global Federated User Directory (GFUD)</v>
      </c>
    </row>
    <row r="133" spans="1:27" ht="15" x14ac:dyDescent="0.25">
      <c r="A133" s="1" t="s">
        <v>545</v>
      </c>
      <c r="B133" s="1" t="s">
        <v>545</v>
      </c>
      <c r="C133" s="1" t="s">
        <v>539</v>
      </c>
      <c r="D133" t="s">
        <v>968</v>
      </c>
      <c r="E133" t="s">
        <v>591</v>
      </c>
      <c r="F133" s="1" t="s">
        <v>945</v>
      </c>
      <c r="G133" s="1" t="s">
        <v>900</v>
      </c>
      <c r="H133" s="1" t="s">
        <v>552</v>
      </c>
      <c r="W133" s="3" t="str">
        <f>CONCATENATE("var js",Table1[[#This Row],[IDs]]," = document.getElementbyId('",Table1[[#This Row],[IDs]],"').innerHTML; //  ",Table1[[#This Row],[Site]])</f>
        <v>var jsG10 = document.getElementbyId('G10').innerHTML; //  Google Work Space - Army</v>
      </c>
      <c r="X133" s="1" t="str">
        <f t="shared" ref="X133:X150" si="9">CONCATENATE("        &lt;!--",A133," - ",C133," --&gt;&lt;div class='column catAll",IF(I133="X"," catArmySites",""),IF(J133="X"," catCombatReadiness",""),IF(K133="X"," catDod",""),IF(L133="X"," catFamily",""),IF(M133="X"," catFinance",""),IF(N133="X"," catHealth",""),IF(O133="X"," catHuman",""),IF(P133="X"," catLegal",""),IF(Q133="X"," catProDev",""),IF(R133="X"," catTech",""),IF(S133="X"," catMilEd",""),IF(T133="X"," catCivEd",""),IF(U133="X"," catUsGov",""),"' style='margin-bottom: 0px;' id='",F133,"'&gt;&lt;a href='",C133,"' rel='noopener noreferrer' class='column hideMarquee'&gt;&lt;div class='armyCardContainer card'&gt;&lt;div class='armyCard'&gt;&lt;div&gt;&lt;p class='marquee'&gt;",E133,"&lt;/p&gt;",IF(H133="Yes","&lt;img src='assets/CaCRequired.png' title='A CAC is required to use some or all features of this site!' Class='cacLocked'&gt;",""),IF(G133="Yes","&lt;img src='assets/DODlock.png' title='This Site requires a DoD network connection to be used!' Class='dodLocked'&gt;",""),"&lt;img src='assets/",D133,"' class='cardImage' loading='lazy'&gt;&lt;/div&gt;&lt;div class='title'&gt;
          &lt;span&gt;",A133,"&lt;/span&gt;&lt;/div&gt;&lt;/div&gt;&lt;/div&gt;&lt;/a&gt;&lt;/div&gt;&lt;script&gt;var js",F133," = document.getElementById('",F133,"').innerHTML;&lt;/script&gt;")</f>
        <v xml:space="preserve">        &lt;!--Google Work Space - Army - https://mail.google.com/a/usa.army.mil --&gt;&lt;div class='column catAll' style='margin-bottom: 0px;' id='G10'&gt;&lt;a href='https://mail.google.com/a/usa.army.mil' rel='noopener noreferrer' class='column hideMarquee'&gt;&lt;div class='armyCardContainer card'&gt;&lt;div class='armyCard'&gt;&lt;div&gt;&lt;p class='marquee'&gt;Provides access to the Army's web mail portal for 'mail.mil' web address.&lt;/p&gt;&lt;img src='assets/CaCRequired.png' title='A CAC is required to use some or all features of this site!' Class='cacLocked'&gt;&lt;img src='assets/Card-159.png' class='cardImage' loading='lazy'&gt;&lt;/div&gt;&lt;div class='title'&gt;
          &lt;span&gt;Google Work Space - Army&lt;/span&gt;&lt;/div&gt;&lt;/div&gt;&lt;/div&gt;&lt;/a&gt;&lt;/div&gt;&lt;script&gt;var jsG10 = document.getElementById('G10').innerHTML;&lt;/script&gt;</v>
      </c>
      <c r="Y13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Google Work Space - Army - https://mail.google.com/a/usa.army.mil --&gt;
      &lt;summary&gt;• &lt;a href='https://mail.google.com/a/usa.army.mil' rel='noopener noreferrer'&gt;Google Work Space - Army - https://mail.google.com/a/usa.army.mil&lt;/a&gt;&lt;/summary&gt;
      &lt;p&gt;Provides access to the Army's web mail portal for 'mail.mil' web address.&lt;/p&gt;
    &lt;/details&gt;</v>
      </c>
      <c r="Z133" s="1" t="str">
        <f t="shared" si="8"/>
        <v xml:space="preserve">          &lt;!-- Google Work Space - Army - https://mail.google.com/a/usa.army.mil --&gt;&lt;div id='dragG10' class='catAll'&gt;&lt;div class='column hideMarquee' draggable='true' ondragstart='drag(event)' value='G10' id='G10'&gt;&lt;div class='armyCardContainer ssCard'&gt;&lt;div class='ssArmyCard'&gt;&lt;div&gt;&lt;p class='marquee'&gt;Provides access to the Army's web mail portal for 'mail.mil' web address.&lt;/p&gt;&lt;img src='assets/Card-159.png' class='ssCardImage' draggable='false' loading='lazy'&gt;&lt;/div&gt;&lt;div class='ssTitle'&gt;&lt;span id='G10Title'&gt;Google Work Space - Army&lt;/span&gt;&lt;/div&gt;&lt;/div&gt;&lt;/div&gt;&lt;/div&gt;&lt;/div&gt;&lt;script&gt;var jsG10 = document.getElementById('dragG10').innerHTML;&lt;/script&gt;</v>
      </c>
      <c r="AA133" s="1" t="str">
        <f>CONCATENATE("var js",Table1[[#This Row],[IDs]]," = document.getElementbyId('drag",Table1[[#This Row],[IDs]],"').innerHTML; //  ",Table1[[#This Row],[Site]])</f>
        <v>var jsG10 = document.getElementbyId('dragG10').innerHTML; //  Google Work Space - Army</v>
      </c>
    </row>
    <row r="134" spans="1:27" ht="15" x14ac:dyDescent="0.25">
      <c r="A134" t="s">
        <v>429</v>
      </c>
      <c r="B134" t="s">
        <v>429</v>
      </c>
      <c r="C134" s="12" t="s">
        <v>445</v>
      </c>
      <c r="D134" t="s">
        <v>732</v>
      </c>
      <c r="E134" t="s">
        <v>731</v>
      </c>
      <c r="F134" s="1" t="s">
        <v>431</v>
      </c>
      <c r="G134" s="1" t="s">
        <v>900</v>
      </c>
      <c r="H134" s="1" t="s">
        <v>552</v>
      </c>
      <c r="O134" s="1" t="s">
        <v>18</v>
      </c>
      <c r="Q134" s="1" t="s">
        <v>18</v>
      </c>
      <c r="W134" s="3" t="str">
        <f>CONCATENATE("var js",Table1[[#This Row],[IDs]]," = document.getElementbyId('",Table1[[#This Row],[IDs]],"').innerHTML; //  ",Table1[[#This Row],[Site]])</f>
        <v>var jsG08 = document.getElementbyId('G08').innerHTML; //  Green To Gold Access Portal</v>
      </c>
      <c r="X134" s="1" t="str">
        <f t="shared" si="9"/>
        <v xml:space="preserve">        &lt;!--Green To Gold Access Portal - https://gtg.usarmyrotc.com/ --&gt;&lt;div class='column catAll catHuman catProDev' style='margin-bottom: 0px;' id='G08'&gt;&lt;a href='https://gtg.usarmyrotc.com/' rel='noopener noreferrer' class='column hideMarquee'&gt;&lt;div class='armyCardContainer card'&gt;&lt;div class='armyCard'&gt;&lt;div&gt;&lt;p class='marquee'&gt;The Green to Gold Active Duty Option Program is a two-year program that provides eligible, Active Duty enlisted Soldiers an opportunity to complete a baccalaureate degree or a two-year graduate degree and earn a commission as an Army Officer. You can apply and monitor your application here.&lt;/p&gt;&lt;img src='assets/CaCRequired.png' title='A CAC is required to use some or all features of this site!' Class='cacLocked'&gt;&lt;img src='assets/Card-132.jpg' class='cardImage' loading='lazy'&gt;&lt;/div&gt;&lt;div class='title'&gt;
          &lt;span&gt;Green To Gold Access Portal&lt;/span&gt;&lt;/div&gt;&lt;/div&gt;&lt;/div&gt;&lt;/a&gt;&lt;/div&gt;&lt;script&gt;var jsG08 = document.getElementById('G08').innerHTML;&lt;/script&gt;</v>
      </c>
      <c r="Y13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Green To Gold Access Portal - https://gtg.usarmyrotc.com/ --&gt;
      &lt;summary&gt;• &lt;a href='https://gtg.usarmyrotc.com/' rel='noopener noreferrer'&gt;Green To Gold Access Portal - https://gtg.usarmyrotc.com/&lt;/a&gt;&lt;/summary&gt;
      &lt;p&gt;The Green to Gold Active Duty Option Program is a two-year program that provides eligible, Active Duty enlisted Soldiers an opportunity to complete a baccalaureate degree or a two-year graduate degree and earn a commission as an Army Officer. You can apply and monitor your application here.&lt;/p&gt;
    &lt;/details&gt;</v>
      </c>
      <c r="Z134" s="1" t="str">
        <f t="shared" si="8"/>
        <v xml:space="preserve">          &lt;!-- Green To Gold Access Portal - https://gtg.usarmyrotc.com/ --&gt;&lt;div id='dragG08' class='catAll catHuman catProDev'&gt;&lt;div class='column hideMarquee' draggable='true' ondragstart='drag(event)' value='G08' id='G08'&gt;&lt;div class='armyCardContainer ssCard'&gt;&lt;div class='ssArmyCard'&gt;&lt;div&gt;&lt;p class='marquee'&gt;The Green to Gold Active Duty Option Program is a two-year program that provides eligible, Active Duty enlisted Soldiers an opportunity to complete a baccalaureate degree or a two-year graduate degree and earn a commission as an Army Officer. You can apply and monitor your application here.&lt;/p&gt;&lt;img src='assets/Card-132.jpg' class='ssCardImage' draggable='false' loading='lazy'&gt;&lt;/div&gt;&lt;div class='ssTitle'&gt;&lt;span id='G08Title'&gt;Green To Gold Access Portal&lt;/span&gt;&lt;/div&gt;&lt;/div&gt;&lt;/div&gt;&lt;/div&gt;&lt;/div&gt;&lt;script&gt;var jsG08 = document.getElementById('dragG08').innerHTML;&lt;/script&gt;</v>
      </c>
      <c r="AA134" s="1" t="str">
        <f>CONCATENATE("var js",Table1[[#This Row],[IDs]]," = document.getElementbyId('drag",Table1[[#This Row],[IDs]],"').innerHTML; //  ",Table1[[#This Row],[Site]])</f>
        <v>var jsG08 = document.getElementbyId('dragG08').innerHTML; //  Green To Gold Access Portal</v>
      </c>
    </row>
    <row r="135" spans="1:27" ht="15" x14ac:dyDescent="0.25">
      <c r="A135" t="s">
        <v>205</v>
      </c>
      <c r="B135" t="s">
        <v>205</v>
      </c>
      <c r="C135" s="12" t="s">
        <v>206</v>
      </c>
      <c r="D135" t="s">
        <v>733</v>
      </c>
      <c r="E135" t="s">
        <v>734</v>
      </c>
      <c r="F135" s="1" t="s">
        <v>407</v>
      </c>
      <c r="G135" s="1" t="s">
        <v>552</v>
      </c>
      <c r="H135" s="1" t="s">
        <v>552</v>
      </c>
      <c r="J135" s="1" t="s">
        <v>18</v>
      </c>
      <c r="W135" s="3" t="str">
        <f>CONCATENATE("var js",Table1[[#This Row],[IDs]]," = document.getElementbyId('",Table1[[#This Row],[IDs]],"').innerHTML; //  ",Table1[[#This Row],[Site]])</f>
        <v>var jsG06 = document.getElementbyId('G06').innerHTML; //  Ground Risk Assessment Tool (GRAT)</v>
      </c>
      <c r="X135" s="1" t="str">
        <f t="shared" si="9"/>
        <v xml:space="preserve">        &lt;!--Ground Risk Assessment Tool (GRAT) - https://grat.safety.army.mil/GRAT/ --&gt;&lt;div class='column catAll catCombatReadiness' style='margin-bottom: 0px;' id='G06'&gt;&lt;a href='https://grat.safety.army.mil/GRAT/' rel='noopener noreferrer' class='column hideMarquee'&gt;&lt;div class='armyCardContainer card'&gt;&lt;div class='armyCard'&gt;&lt;div&gt;&lt;p class='marquee'&gt;Ground Risk Assessment Tool (GRAT) is a mission planning tool developed to augment the military decision-making process. Consisting of five integral parts, it assists users in identifying potential hazards and controls for specified ground missions or activities, both on and off duty.&lt;/p&gt;&lt;img src='assets/CaCRequired.png' title='A CAC is required to use some or all features of this site!' Class='cacLocked'&gt;&lt;img src='assets/DODlock.png' title='This Site requires a DoD network connection to be used!' Class='dodLocked'&gt;&lt;img src='assets/Card-019.png' class='cardImage' loading='lazy'&gt;&lt;/div&gt;&lt;div class='title'&gt;
          &lt;span&gt;Ground Risk Assessment Tool (GRAT)&lt;/span&gt;&lt;/div&gt;&lt;/div&gt;&lt;/div&gt;&lt;/a&gt;&lt;/div&gt;&lt;script&gt;var jsG06 = document.getElementById('G06').innerHTML;&lt;/script&gt;</v>
      </c>
      <c r="Y13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Ground Risk Assessment Tool (GRAT) - https://grat.safety.army.mil/GRAT/ --&gt;
      &lt;summary&gt;• &lt;a href='https://grat.safety.army.mil/GRAT/' rel='noopener noreferrer'&gt;Ground Risk Assessment Tool (GRAT) - https://grat.safety.army.mil/GRAT/&lt;/a&gt;&lt;/summary&gt;
      &lt;p&gt;Ground Risk Assessment Tool (GRAT) is a mission planning tool developed to augment the military decision-making process. Consisting of five integral parts, it assists users in identifying potential hazards and controls for specified ground missions or activities, both on and off duty.&lt;/p&gt;
    &lt;/details&gt;</v>
      </c>
      <c r="Z135" s="1" t="str">
        <f t="shared" si="8"/>
        <v xml:space="preserve">          &lt;!-- Ground Risk Assessment Tool (GRAT) - https://grat.safety.army.mil/GRAT/ --&gt;&lt;div id='dragG06' class='catAll catCombatReadiness'&gt;&lt;div class='column hideMarquee' draggable='true' ondragstart='drag(event)' value='G06' id='G06'&gt;&lt;div class='armyCardContainer ssCard'&gt;&lt;div class='ssArmyCard'&gt;&lt;div&gt;&lt;p class='marquee'&gt;Ground Risk Assessment Tool (GRAT) is a mission planning tool developed to augment the military decision-making process. Consisting of five integral parts, it assists users in identifying potential hazards and controls for specified ground missions or activities, both on and off duty.&lt;/p&gt;&lt;img src='assets/Card-019.png' class='ssCardImage' draggable='false' loading='lazy'&gt;&lt;/div&gt;&lt;div class='ssTitle'&gt;&lt;span id='G06Title'&gt;Ground Risk Assessment Tool (GRAT)&lt;/span&gt;&lt;/div&gt;&lt;/div&gt;&lt;/div&gt;&lt;/div&gt;&lt;/div&gt;&lt;script&gt;var jsG06 = document.getElementById('dragG06').innerHTML;&lt;/script&gt;</v>
      </c>
      <c r="AA135" s="1" t="str">
        <f>CONCATENATE("var js",Table1[[#This Row],[IDs]]," = document.getElementbyId('drag",Table1[[#This Row],[IDs]],"').innerHTML; //  ",Table1[[#This Row],[Site]])</f>
        <v>var jsG06 = document.getElementbyId('dragG06').innerHTML; //  Ground Risk Assessment Tool (GRAT)</v>
      </c>
    </row>
    <row r="136" spans="1:27" ht="15" x14ac:dyDescent="0.25">
      <c r="A136" t="s">
        <v>208</v>
      </c>
      <c r="B136" t="s">
        <v>208</v>
      </c>
      <c r="C136" s="12" t="s">
        <v>209</v>
      </c>
      <c r="D136" t="s">
        <v>735</v>
      </c>
      <c r="E136" t="s">
        <v>736</v>
      </c>
      <c r="F136" s="1" t="s">
        <v>408</v>
      </c>
      <c r="G136" s="1" t="s">
        <v>900</v>
      </c>
      <c r="H136" s="1" t="s">
        <v>552</v>
      </c>
      <c r="I136" s="1" t="s">
        <v>18</v>
      </c>
      <c r="W136" s="3" t="str">
        <f>CONCATENATE("var js",Table1[[#This Row],[IDs]]," = document.getElementbyId('",Table1[[#This Row],[IDs]],"').innerHTML; //  ",Table1[[#This Row],[Site]])</f>
        <v>var jsG07 = document.getElementbyId('G07').innerHTML; //  Guard Knowledge Online (GKO)</v>
      </c>
      <c r="X136" s="1" t="str">
        <f t="shared" si="9"/>
        <v xml:space="preserve">        &lt;!--Guard Knowledge Online (GKO) - https://gko.portal.ng.mil/SitePages/Home.aspx --&gt;&lt;div class='column catAll catArmySites' style='margin-bottom: 0px;' id='G07'&gt;&lt;a href='https://gko.portal.ng.mil/SitePages/Home.aspx' rel='noopener noreferrer' class='column hideMarquee'&gt;&lt;div class='armyCardContainer card'&gt;&lt;div class='armyCard'&gt;&lt;div&gt;&lt;p class='marquee'&gt;A National Guard Bureau-wide Sharepoint site allowing for document storage and collaboration.&lt;/p&gt;&lt;img src='assets/CaCRequired.png' title='A CAC is required to use some or all features of this site!' Class='cacLocked'&gt;&lt;img src='assets/Card-099.png' class='cardImage' loading='lazy'&gt;&lt;/div&gt;&lt;div class='title'&gt;
          &lt;span&gt;Guard Knowledge Online (GKO)&lt;/span&gt;&lt;/div&gt;&lt;/div&gt;&lt;/div&gt;&lt;/a&gt;&lt;/div&gt;&lt;script&gt;var jsG07 = document.getElementById('G07').innerHTML;&lt;/script&gt;</v>
      </c>
      <c r="Y13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Guard Knowledge Online (GKO) - https://gko.portal.ng.mil/SitePages/Home.aspx --&gt;
      &lt;summary&gt;• &lt;a href='https://gko.portal.ng.mil/SitePages/Home.aspx' rel='noopener noreferrer'&gt;Guard Knowledge Online (GKO) - https://gko.portal.ng.mil/SitePages/Home.aspx&lt;/a&gt;&lt;/summary&gt;
      &lt;p&gt;A National Guard Bureau-wide Sharepoint site allowing for document storage and collaboration.&lt;/p&gt;
    &lt;/details&gt;</v>
      </c>
      <c r="Z136" s="1" t="str">
        <f t="shared" si="8"/>
        <v xml:space="preserve">          &lt;!-- Guard Knowledge Online (GKO) - https://gko.portal.ng.mil/SitePages/Home.aspx --&gt;&lt;div id='dragG07' class='catAll catArmySites'&gt;&lt;div class='column hideMarquee' draggable='true' ondragstart='drag(event)' value='G07' id='G07'&gt;&lt;div class='armyCardContainer ssCard'&gt;&lt;div class='ssArmyCard'&gt;&lt;div&gt;&lt;p class='marquee'&gt;A National Guard Bureau-wide Sharepoint site allowing for document storage and collaboration.&lt;/p&gt;&lt;img src='assets/Card-099.png' class='ssCardImage' draggable='false' loading='lazy'&gt;&lt;/div&gt;&lt;div class='ssTitle'&gt;&lt;span id='G07Title'&gt;Guard Knowledge Online (GKO)&lt;/span&gt;&lt;/div&gt;&lt;/div&gt;&lt;/div&gt;&lt;/div&gt;&lt;/div&gt;&lt;script&gt;var jsG07 = document.getElementById('dragG07').innerHTML;&lt;/script&gt;</v>
      </c>
      <c r="AA136" s="1" t="str">
        <f>CONCATENATE("var js",Table1[[#This Row],[IDs]]," = document.getElementbyId('drag",Table1[[#This Row],[IDs]],"').innerHTML; //  ",Table1[[#This Row],[Site]])</f>
        <v>var jsG07 = document.getElementbyId('dragG07').innerHTML; //  Guard Knowledge Online (GKO)</v>
      </c>
    </row>
    <row r="137" spans="1:27" ht="15" x14ac:dyDescent="0.25">
      <c r="A137" t="s">
        <v>211</v>
      </c>
      <c r="B137" t="s">
        <v>211</v>
      </c>
      <c r="C137" s="12" t="s">
        <v>212</v>
      </c>
      <c r="D137" t="s">
        <v>738</v>
      </c>
      <c r="E137" t="s">
        <v>737</v>
      </c>
      <c r="F137" s="1" t="s">
        <v>213</v>
      </c>
      <c r="G137" s="1" t="s">
        <v>900</v>
      </c>
      <c r="H137" s="1" t="s">
        <v>900</v>
      </c>
      <c r="N137" s="1" t="s">
        <v>18</v>
      </c>
      <c r="W137" s="3" t="str">
        <f>CONCATENATE("var js",Table1[[#This Row],[IDs]]," = document.getElementbyId('",Table1[[#This Row],[IDs]],"').innerHTML; //  ",Table1[[#This Row],[Site]])</f>
        <v>var jsH00 = document.getElementbyId('H00').innerHTML; //  Health.mil</v>
      </c>
      <c r="X137" s="1" t="str">
        <f t="shared" si="9"/>
        <v xml:space="preserve">        &lt;!--Health.mil - https://health.mil/jmesi --&gt;&lt;div class='column catAll catHealth' style='margin-bottom: 0px;' id='H00'&gt;&lt;a href='https://health.mil/jmesi' rel='noopener noreferrer' class='column hideMarquee'&gt;&lt;div class='armyCardContainer card'&gt;&lt;div class='armyCard'&gt;&lt;div&gt;&lt;p class='marquee'&gt;The Military Health System (MHS) is a form of nationalized health care operated within the United States Department of Defense that provides health care to active duty, Reserve component and retired U.S. Military personnel and their dependents.&lt;/p&gt;&lt;img src='assets/Card-043.png' class='cardImage' loading='lazy'&gt;&lt;/div&gt;&lt;div class='title'&gt;
          &lt;span&gt;Health.mil&lt;/span&gt;&lt;/div&gt;&lt;/div&gt;&lt;/div&gt;&lt;/a&gt;&lt;/div&gt;&lt;script&gt;var jsH00 = document.getElementById('H00').innerHTML;&lt;/script&gt;</v>
      </c>
      <c r="Y13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Health.mil - https://health.mil/jmesi --&gt;
      &lt;summary&gt;• &lt;a href='https://health.mil/jmesi' rel='noopener noreferrer'&gt;Health.mil - https://health.mil/jmesi&lt;/a&gt;&lt;/summary&gt;
      &lt;p&gt;The Military Health System (MHS) is a form of nationalized health care operated within the United States Department of Defense that provides health care to active duty, Reserve component and retired U.S. Military personnel and their dependents.&lt;/p&gt;
    &lt;/details&gt;</v>
      </c>
      <c r="Z137" s="1" t="str">
        <f t="shared" si="8"/>
        <v xml:space="preserve">          &lt;!-- Health.mil - https://health.mil/jmesi --&gt;&lt;div id='dragH00' class='catAll catHealth'&gt;&lt;div class='column hideMarquee' draggable='true' ondragstart='drag(event)' value='H00' id='H00'&gt;&lt;div class='armyCardContainer ssCard'&gt;&lt;div class='ssArmyCard'&gt;&lt;div&gt;&lt;p class='marquee'&gt;The Military Health System (MHS) is a form of nationalized health care operated within the United States Department of Defense that provides health care to active duty, Reserve component and retired U.S. Military personnel and their dependents.&lt;/p&gt;&lt;img src='assets/Card-043.png' class='ssCardImage' draggable='false' loading='lazy'&gt;&lt;/div&gt;&lt;div class='ssTitle'&gt;&lt;span id='H00Title'&gt;Health.mil&lt;/span&gt;&lt;/div&gt;&lt;/div&gt;&lt;/div&gt;&lt;/div&gt;&lt;/div&gt;&lt;script&gt;var jsH00 = document.getElementById('dragH00').innerHTML;&lt;/script&gt;</v>
      </c>
      <c r="AA137" s="1" t="str">
        <f>CONCATENATE("var js",Table1[[#This Row],[IDs]]," = document.getElementbyId('drag",Table1[[#This Row],[IDs]],"').innerHTML; //  ",Table1[[#This Row],[Site]])</f>
        <v>var jsH00 = document.getElementbyId('dragH00').innerHTML; //  Health.mil</v>
      </c>
    </row>
    <row r="138" spans="1:27" ht="15" x14ac:dyDescent="0.25">
      <c r="A138" t="s">
        <v>875</v>
      </c>
      <c r="B138" t="s">
        <v>875</v>
      </c>
      <c r="C138" s="11" t="s">
        <v>506</v>
      </c>
      <c r="D138" t="s">
        <v>740</v>
      </c>
      <c r="E138" t="s">
        <v>739</v>
      </c>
      <c r="F138" s="1" t="s">
        <v>214</v>
      </c>
      <c r="G138" s="1" t="s">
        <v>900</v>
      </c>
      <c r="H138" s="1" t="s">
        <v>552</v>
      </c>
      <c r="O138" s="1" t="s">
        <v>18</v>
      </c>
      <c r="W138" s="3" t="str">
        <f>CONCATENATE("var js",Table1[[#This Row],[IDs]]," = document.getElementbyId('",Table1[[#This Row],[IDs]],"').innerHTML; //  ",Table1[[#This Row],[Site]])</f>
        <v>var jsI00 = document.getElementbyId('I00').innerHTML; //  Identity, Credentialing and Access Management (ICAM) Portal</v>
      </c>
      <c r="X138" s="1" t="str">
        <f t="shared" si="9"/>
        <v xml:space="preserve">        &lt;!--Identity, Credentialing and Access Management (ICAM) Portal - https://icamportal.us.army.mil/ --&gt;&lt;div class='column catAll catHuman' style='margin-bottom: 0px;' id='I00'&gt;&lt;a href='https://icamportal.us.army.mil/' rel='noopener noreferrer' class='column hideMarquee'&gt;&lt;div class='armyCardContainer card'&gt;&lt;div class='armyCard'&gt;&lt;div&gt;&lt;p class='marquee'&gt;Identity, Credentialing and Access Management (ICAM) Portal provides account and group functions formerly provided by AKO Classic. The ICAM portal also provides EAMS-A information. This has replaced Identity Management (IDM) Portal.&lt;/p&gt;&lt;img src='assets/CaCRequired.png' title='A CAC is required to use some or all features of this site!' Class='cacLocked'&gt;&lt;img src='assets/Card-066.png' class='cardImage' loading='lazy'&gt;&lt;/div&gt;&lt;div class='title'&gt;
          &lt;span&gt;Identity, Credentialing and Access Management (ICAM) Portal&lt;/span&gt;&lt;/div&gt;&lt;/div&gt;&lt;/div&gt;&lt;/a&gt;&lt;/div&gt;&lt;script&gt;var jsI00 = document.getElementById('I00').innerHTML;&lt;/script&gt;</v>
      </c>
      <c r="Y13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Identity, Credentialing and Access Management (ICAM) Portal - https://icamportal.us.army.mil/ --&gt;
      &lt;summary&gt;• &lt;a href='https://icamportal.us.army.mil/' rel='noopener noreferrer'&gt;Identity, Credentialing and Access Management (ICAM) Portal - https://icamportal.us.army.mil/&lt;/a&gt;&lt;/summary&gt;
      &lt;p&gt;Identity, Credentialing and Access Management (ICAM) Portal provides account and group functions formerly provided by AKO Classic. The ICAM portal also provides EAMS-A information. This has replaced Identity Management (IDM) Portal.&lt;/p&gt;
    &lt;/details&gt;</v>
      </c>
      <c r="Z138" s="1" t="str">
        <f t="shared" si="8"/>
        <v xml:space="preserve">          &lt;!-- Identity, Credentialing and Access Management (ICAM) Portal - https://icamportal.us.army.mil/ --&gt;&lt;div id='dragI00' class='catAll catHuman'&gt;&lt;div class='column hideMarquee' draggable='true' ondragstart='drag(event)' value='I00' id='I00'&gt;&lt;div class='armyCardContainer ssCard'&gt;&lt;div class='ssArmyCard'&gt;&lt;div&gt;&lt;p class='marquee'&gt;Identity, Credentialing and Access Management (ICAM) Portal provides account and group functions formerly provided by AKO Classic. The ICAM portal also provides EAMS-A information. This has replaced Identity Management (IDM) Portal.&lt;/p&gt;&lt;img src='assets/Card-066.png' class='ssCardImage' draggable='false' loading='lazy'&gt;&lt;/div&gt;&lt;div class='ssTitle'&gt;&lt;span id='I00Title'&gt;Identity, Credentialing and Access Management (ICAM) Portal&lt;/span&gt;&lt;/div&gt;&lt;/div&gt;&lt;/div&gt;&lt;/div&gt;&lt;/div&gt;&lt;script&gt;var jsI00 = document.getElementById('dragI00').innerHTML;&lt;/script&gt;</v>
      </c>
      <c r="AA138" s="1" t="str">
        <f>CONCATENATE("var js",Table1[[#This Row],[IDs]]," = document.getElementbyId('drag",Table1[[#This Row],[IDs]],"').innerHTML; //  ",Table1[[#This Row],[Site]])</f>
        <v>var jsI00 = document.getElementbyId('dragI00').innerHTML; //  Identity, Credentialing and Access Management (ICAM) Portal</v>
      </c>
    </row>
    <row r="139" spans="1:27" ht="15" x14ac:dyDescent="0.25">
      <c r="A139" t="s">
        <v>215</v>
      </c>
      <c r="B139" t="s">
        <v>215</v>
      </c>
      <c r="C139" s="12" t="s">
        <v>933</v>
      </c>
      <c r="D139" t="s">
        <v>742</v>
      </c>
      <c r="E139" t="s">
        <v>741</v>
      </c>
      <c r="F139" s="1" t="s">
        <v>216</v>
      </c>
      <c r="G139" s="1" t="s">
        <v>900</v>
      </c>
      <c r="H139" s="1" t="s">
        <v>552</v>
      </c>
      <c r="T139" s="1" t="s">
        <v>18</v>
      </c>
      <c r="W139" s="3" t="str">
        <f>CONCATENATE("var js",Table1[[#This Row],[IDs]]," = document.getElementbyId('",Table1[[#This Row],[IDs]],"').innerHTML; //  ",Table1[[#This Row],[Site]])</f>
        <v>var jsI01 = document.getElementbyId('I01').innerHTML; //  IgnitED</v>
      </c>
      <c r="X139" s="1" t="str">
        <f t="shared" si="9"/>
        <v xml:space="preserve">        &lt;!--IgnitED - https://www.armyignited.army.mil/student/ --&gt;&lt;div class='column catAll catCivEd' style='margin-bottom: 0px;' id='I01'&gt;&lt;a href='https://www.armyignited.army.mil/student/' rel='noopener noreferrer' class='column hideMarquee'&gt;&lt;div class='armyCardContainer card'&gt;&lt;div class='armyCard'&gt;&lt;div&gt;&lt;p class='marquee'&gt;ArmyIgnitED is a tailored, intuitive resource that empowers you to achieve your educational goals. Whether you’re at home or abroad, you’ll have unlimited access to educational opportunities, support, and guidance throughout your desired Education Path, Civilian Path, Credential, or Army ROTC scholarship program. Sign up for TA or CA here&lt;/p&gt;&lt;img src='assets/CaCRequired.png' title='A CAC is required to use some or all features of this site!' Class='cacLocked'&gt;&lt;img src='assets/Card-087.png' class='cardImage' loading='lazy'&gt;&lt;/div&gt;&lt;div class='title'&gt;
          &lt;span&gt;IgnitED&lt;/span&gt;&lt;/div&gt;&lt;/div&gt;&lt;/div&gt;&lt;/a&gt;&lt;/div&gt;&lt;script&gt;var jsI01 = document.getElementById('I01').innerHTML;&lt;/script&gt;</v>
      </c>
      <c r="Y13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IgnitED - https://www.armyignited.army.mil/student/ --&gt;
      &lt;summary&gt;• &lt;a href='https://www.armyignited.army.mil/student/' rel='noopener noreferrer'&gt;IgnitED - https://www.armyignited.army.mil/student/&lt;/a&gt;&lt;/summary&gt;
      &lt;p&gt;ArmyIgnitED is a tailored, intuitive resource that empowers you to achieve your educational goals. Whether you’re at home or abroad, you’ll have unlimited access to educational opportunities, support, and guidance throughout your desired Education Path, Civilian Path, Credential, or Army ROTC scholarship program. Sign up for TA or CA here&lt;/p&gt;
    &lt;/details&gt;</v>
      </c>
      <c r="Z139" s="1" t="str">
        <f t="shared" si="8"/>
        <v xml:space="preserve">          &lt;!-- IgnitED - https://www.armyignited.army.mil/student/ --&gt;&lt;div id='dragI01' class='catAll catCivEd'&gt;&lt;div class='column hideMarquee' draggable='true' ondragstart='drag(event)' value='I01' id='I01'&gt;&lt;div class='armyCardContainer ssCard'&gt;&lt;div class='ssArmyCard'&gt;&lt;div&gt;&lt;p class='marquee'&gt;ArmyIgnitED is a tailored, intuitive resource that empowers you to achieve your educational goals. Whether you’re at home or abroad, you’ll have unlimited access to educational opportunities, support, and guidance throughout your desired Education Path, Civilian Path, Credential, or Army ROTC scholarship program. Sign up for TA or CA here&lt;/p&gt;&lt;img src='assets/Card-087.png' class='ssCardImage' draggable='false' loading='lazy'&gt;&lt;/div&gt;&lt;div class='ssTitle'&gt;&lt;span id='I01Title'&gt;IgnitED&lt;/span&gt;&lt;/div&gt;&lt;/div&gt;&lt;/div&gt;&lt;/div&gt;&lt;/div&gt;&lt;script&gt;var jsI01 = document.getElementById('dragI01').innerHTML;&lt;/script&gt;</v>
      </c>
      <c r="AA139" s="1" t="str">
        <f>CONCATENATE("var js",Table1[[#This Row],[IDs]]," = document.getElementbyId('drag",Table1[[#This Row],[IDs]],"').innerHTML; //  ",Table1[[#This Row],[Site]])</f>
        <v>var jsI01 = document.getElementbyId('dragI01').innerHTML; //  IgnitED</v>
      </c>
    </row>
    <row r="140" spans="1:27" ht="15" x14ac:dyDescent="0.25">
      <c r="A140" t="s">
        <v>217</v>
      </c>
      <c r="B140" t="s">
        <v>217</v>
      </c>
      <c r="C140" s="12" t="s">
        <v>218</v>
      </c>
      <c r="D140" t="s">
        <v>744</v>
      </c>
      <c r="E140" t="s">
        <v>743</v>
      </c>
      <c r="F140" s="1" t="s">
        <v>219</v>
      </c>
      <c r="G140" s="1" t="s">
        <v>900</v>
      </c>
      <c r="H140" s="1" t="s">
        <v>552</v>
      </c>
      <c r="O140" s="1" t="s">
        <v>18</v>
      </c>
      <c r="W140" s="3" t="str">
        <f>CONCATENATE("var js",Table1[[#This Row],[IDs]]," = document.getElementbyId('",Table1[[#This Row],[IDs]],"').innerHTML; //  ",Table1[[#This Row],[Site]])</f>
        <v>var jsI02 = document.getElementbyId('I02').innerHTML; //  Installation Support Module</v>
      </c>
      <c r="X140" s="1" t="str">
        <f t="shared" si="9"/>
        <v xml:space="preserve">        &lt;!--Installation Support Module - https://ism.army.mil/ism/guest/login.jsp --&gt;&lt;div class='column catAll catHuman' style='margin-bottom: 0px;' id='I02'&gt;&lt;a href='https://ism.army.mil/ism/guest/login.jsp' rel='noopener noreferrer' class='column hideMarquee'&gt;&lt;div class='armyCardContainer card'&gt;&lt;div class='armyCard'&gt;&lt;div&gt;&lt;p class='marquee'&gt;Installation Support Modules (ISM) is standardized software applications that perform business functions at the installation level for the Army.&lt;/p&gt;&lt;img src='assets/CaCRequired.png' title='A CAC is required to use some or all features of this site!' Class='cacLocked'&gt;&lt;img src='assets/Card-131.png' class='cardImage' loading='lazy'&gt;&lt;/div&gt;&lt;div class='title'&gt;
          &lt;span&gt;Installation Support Module&lt;/span&gt;&lt;/div&gt;&lt;/div&gt;&lt;/div&gt;&lt;/a&gt;&lt;/div&gt;&lt;script&gt;var jsI02 = document.getElementById('I02').innerHTML;&lt;/script&gt;</v>
      </c>
      <c r="Y14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Installation Support Module - https://ism.army.mil/ism/guest/login.jsp --&gt;
      &lt;summary&gt;• &lt;a href='https://ism.army.mil/ism/guest/login.jsp' rel='noopener noreferrer'&gt;Installation Support Module - https://ism.army.mil/ism/guest/login.jsp&lt;/a&gt;&lt;/summary&gt;
      &lt;p&gt;Installation Support Modules (ISM) is standardized software applications that perform business functions at the installation level for the Army.&lt;/p&gt;
    &lt;/details&gt;</v>
      </c>
      <c r="Z140" s="1" t="str">
        <f t="shared" si="8"/>
        <v xml:space="preserve">          &lt;!-- Installation Support Module - https://ism.army.mil/ism/guest/login.jsp --&gt;&lt;div id='dragI02' class='catAll catHuman'&gt;&lt;div class='column hideMarquee' draggable='true' ondragstart='drag(event)' value='I02' id='I02'&gt;&lt;div class='armyCardContainer ssCard'&gt;&lt;div class='ssArmyCard'&gt;&lt;div&gt;&lt;p class='marquee'&gt;Installation Support Modules (ISM) is standardized software applications that perform business functions at the installation level for the Army.&lt;/p&gt;&lt;img src='assets/Card-131.png' class='ssCardImage' draggable='false' loading='lazy'&gt;&lt;/div&gt;&lt;div class='ssTitle'&gt;&lt;span id='I02Title'&gt;Installation Support Module&lt;/span&gt;&lt;/div&gt;&lt;/div&gt;&lt;/div&gt;&lt;/div&gt;&lt;/div&gt;&lt;script&gt;var jsI02 = document.getElementById('dragI02').innerHTML;&lt;/script&gt;</v>
      </c>
      <c r="AA140" s="1" t="str">
        <f>CONCATENATE("var js",Table1[[#This Row],[IDs]]," = document.getElementbyId('drag",Table1[[#This Row],[IDs]],"').innerHTML; //  ",Table1[[#This Row],[Site]])</f>
        <v>var jsI02 = document.getElementbyId('dragI02').innerHTML; //  Installation Support Module</v>
      </c>
    </row>
    <row r="141" spans="1:27" ht="15" x14ac:dyDescent="0.25">
      <c r="A141" s="1" t="s">
        <v>932</v>
      </c>
      <c r="B141" s="1" t="s">
        <v>932</v>
      </c>
      <c r="C141" s="12" t="s">
        <v>535</v>
      </c>
      <c r="D141" t="s">
        <v>746</v>
      </c>
      <c r="E141" t="s">
        <v>745</v>
      </c>
      <c r="F141" s="1" t="s">
        <v>220</v>
      </c>
      <c r="G141" s="1" t="s">
        <v>900</v>
      </c>
      <c r="H141" s="1" t="s">
        <v>552</v>
      </c>
      <c r="O141" s="1" t="s">
        <v>18</v>
      </c>
      <c r="W141" s="3" t="str">
        <f>CONCATENATE("var js",Table1[[#This Row],[IDs]]," = document.getElementbyId('",Table1[[#This Row],[IDs]],"').innerHTML; //  ",Table1[[#This Row],[Site]])</f>
        <v>var jsI03 = document.getElementbyId('I03').innerHTML; //  Integrated Personnel and Pay System Army&lt;br&gt;(IPPS-A)</v>
      </c>
      <c r="X141" s="1" t="str">
        <f t="shared" si="9"/>
        <v xml:space="preserve">        &lt;!--Integrated Personnel and Pay System Army&lt;br&gt;(IPPS-A) - https://hr.ippsa.army.mil/psp/hcpdc/?cmd=login --&gt;&lt;div class='column catAll catHuman' style='margin-bottom: 0px;' id='I03'&gt;&lt;a href='https://hr.ippsa.army.mil/psp/hcpdc/?cmd=login' rel='noopener noreferrer' class='column hideMarquee'&gt;&lt;div class='armyCardContainer card'&gt;&lt;div class='armyCard'&gt;&lt;div&gt;&lt;p class='marquee'&gt;A web-based human resources system that provides integrated personnel and pay capabilities and a comprehensive HR record for all Soldiers in each component.&lt;/p&gt;&lt;img src='assets/CaCRequired.png' title='A CAC is required to use some or all features of this site!' Class='cacLocked'&gt;&lt;img src='assets/Card-049.png' class='cardImage' loading='lazy'&gt;&lt;/div&gt;&lt;div class='title'&gt;
          &lt;span&gt;Integrated Personnel and Pay System Army&lt;br&gt;(IPPS-A)&lt;/span&gt;&lt;/div&gt;&lt;/div&gt;&lt;/div&gt;&lt;/a&gt;&lt;/div&gt;&lt;script&gt;var jsI03 = document.getElementById('I03').innerHTML;&lt;/script&gt;</v>
      </c>
      <c r="Y14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Integrated Personnel and Pay System Army&lt;br&gt;(IPPS-A) - https://hr.ippsa.army.mil/psp/hcpdc/?cmd=login --&gt;
      &lt;summary&gt;• &lt;a href='https://hr.ippsa.army.mil/psp/hcpdc/?cmd=login' rel='noopener noreferrer'&gt;Integrated Personnel and Pay System Army&lt;br&gt;(IPPS-A) - https://hr.ippsa.army.mil/psp/hcpdc/?cmd=login&lt;/a&gt;&lt;/summary&gt;
      &lt;p&gt;A web-based human resources system that provides integrated personnel and pay capabilities and a comprehensive HR record for all Soldiers in each component.&lt;/p&gt;
    &lt;/details&gt;</v>
      </c>
      <c r="Z141" s="1" t="str">
        <f t="shared" si="8"/>
        <v xml:space="preserve">          &lt;!-- Integrated Personnel and Pay System Army&lt;br&gt;(IPPS-A) - https://hr.ippsa.army.mil/psp/hcpdc/?cmd=login --&gt;&lt;div id='dragI03' class='catAll catHuman'&gt;&lt;div class='column hideMarquee' draggable='true' ondragstart='drag(event)' value='I03' id='I03'&gt;&lt;div class='armyCardContainer ssCard'&gt;&lt;div class='ssArmyCard'&gt;&lt;div&gt;&lt;p class='marquee'&gt;A web-based human resources system that provides integrated personnel and pay capabilities and a comprehensive HR record for all Soldiers in each component.&lt;/p&gt;&lt;img src='assets/Card-049.png' class='ssCardImage' draggable='false' loading='lazy'&gt;&lt;/div&gt;&lt;div class='ssTitle'&gt;&lt;span id='I03Title'&gt;Integrated Personnel and Pay System Army&lt;br&gt;(IPPS-A)&lt;/span&gt;&lt;/div&gt;&lt;/div&gt;&lt;/div&gt;&lt;/div&gt;&lt;/div&gt;&lt;script&gt;var jsI03 = document.getElementById('dragI03').innerHTML;&lt;/script&gt;</v>
      </c>
      <c r="AA141" s="1" t="str">
        <f>CONCATENATE("var js",Table1[[#This Row],[IDs]]," = document.getElementbyId('drag",Table1[[#This Row],[IDs]],"').innerHTML; //  ",Table1[[#This Row],[Site]])</f>
        <v>var jsI03 = document.getElementbyId('dragI03').innerHTML; //  Integrated Personnel and Pay System Army&lt;br&gt;(IPPS-A)</v>
      </c>
    </row>
    <row r="142" spans="1:27" ht="15" x14ac:dyDescent="0.25">
      <c r="A142" t="s">
        <v>221</v>
      </c>
      <c r="B142" t="s">
        <v>221</v>
      </c>
      <c r="C142" s="1" t="s">
        <v>222</v>
      </c>
      <c r="D142" t="s">
        <v>748</v>
      </c>
      <c r="E142" t="s">
        <v>747</v>
      </c>
      <c r="F142" s="1" t="s">
        <v>223</v>
      </c>
      <c r="G142" s="1" t="s">
        <v>900</v>
      </c>
      <c r="H142" s="1" t="s">
        <v>552</v>
      </c>
      <c r="O142" s="1" t="s">
        <v>18</v>
      </c>
      <c r="W142" s="3" t="str">
        <f>CONCATENATE("var js",Table1[[#This Row],[IDs]]," = document.getElementbyId('",Table1[[#This Row],[IDs]],"').innerHTML; //  ",Table1[[#This Row],[Site]])</f>
        <v>var jsI04 = document.getElementbyId('I04').innerHTML; //  iPerms</v>
      </c>
      <c r="X142" s="1" t="str">
        <f t="shared" si="9"/>
        <v xml:space="preserve">        &lt;!--iPerms - https://iperms.hrc.army.mil/ --&gt;&lt;div class='column catAll catHuman' style='margin-bottom: 0px;' id='I04'&gt;&lt;a href='https://iperms.hrc.army.mil/' rel='noopener noreferrer' class='column hideMarquee'&gt;&lt;div class='armyCardContainer card'&gt;&lt;div class='armyCard'&gt;&lt;div&gt;&lt;p class='marquee'&gt;An online information management system used for storing and managing military personnel records. It electronically stores evaluation reports, some medical documents, college and military transcripts, awards, diplomas, and more.&lt;/p&gt;&lt;img src='assets/CaCRequired.png' title='A CAC is required to use some or all features of this site!' Class='cacLocked'&gt;&lt;img src='assets/Card-027.png' class='cardImage' loading='lazy'&gt;&lt;/div&gt;&lt;div class='title'&gt;
          &lt;span&gt;iPerms&lt;/span&gt;&lt;/div&gt;&lt;/div&gt;&lt;/div&gt;&lt;/a&gt;&lt;/div&gt;&lt;script&gt;var jsI04 = document.getElementById('I04').innerHTML;&lt;/script&gt;</v>
      </c>
      <c r="Y14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iPerms - https://iperms.hrc.army.mil/ --&gt;
      &lt;summary&gt;• &lt;a href='https://iperms.hrc.army.mil/' rel='noopener noreferrer'&gt;iPerms - https://iperms.hrc.army.mil/&lt;/a&gt;&lt;/summary&gt;
      &lt;p&gt;An online information management system used for storing and managing military personnel records. It electronically stores evaluation reports, some medical documents, college and military transcripts, awards, diplomas, and more.&lt;/p&gt;
    &lt;/details&gt;</v>
      </c>
      <c r="Z142" s="1" t="str">
        <f t="shared" si="8"/>
        <v xml:space="preserve">          &lt;!-- iPerms - https://iperms.hrc.army.mil/ --&gt;&lt;div id='dragI04' class='catAll catHuman'&gt;&lt;div class='column hideMarquee' draggable='true' ondragstart='drag(event)' value='I04' id='I04'&gt;&lt;div class='armyCardContainer ssCard'&gt;&lt;div class='ssArmyCard'&gt;&lt;div&gt;&lt;p class='marquee'&gt;An online information management system used for storing and managing military personnel records. It electronically stores evaluation reports, some medical documents, college and military transcripts, awards, diplomas, and more.&lt;/p&gt;&lt;img src='assets/Card-027.png' class='ssCardImage' draggable='false' loading='lazy'&gt;&lt;/div&gt;&lt;div class='ssTitle'&gt;&lt;span id='I04Title'&gt;iPerms&lt;/span&gt;&lt;/div&gt;&lt;/div&gt;&lt;/div&gt;&lt;/div&gt;&lt;/div&gt;&lt;script&gt;var jsI04 = document.getElementById('dragI04').innerHTML;&lt;/script&gt;</v>
      </c>
      <c r="AA142" s="1" t="str">
        <f>CONCATENATE("var js",Table1[[#This Row],[IDs]]," = document.getElementbyId('drag",Table1[[#This Row],[IDs]],"').innerHTML; //  ",Table1[[#This Row],[Site]])</f>
        <v>var jsI04 = document.getElementbyId('dragI04').innerHTML; //  iPerms</v>
      </c>
    </row>
    <row r="143" spans="1:27" ht="15" x14ac:dyDescent="0.25">
      <c r="A143" t="s">
        <v>385</v>
      </c>
      <c r="B143" t="s">
        <v>385</v>
      </c>
      <c r="C143" s="7" t="s">
        <v>384</v>
      </c>
      <c r="D143" t="s">
        <v>750</v>
      </c>
      <c r="E143" t="s">
        <v>749</v>
      </c>
      <c r="F143" s="1" t="s">
        <v>404</v>
      </c>
      <c r="G143" s="1" t="s">
        <v>900</v>
      </c>
      <c r="H143" s="1" t="s">
        <v>900</v>
      </c>
      <c r="I143" s="1" t="s">
        <v>18</v>
      </c>
      <c r="K143" s="1" t="s">
        <v>18</v>
      </c>
      <c r="U143" s="1" t="s">
        <v>18</v>
      </c>
      <c r="W143" s="3" t="str">
        <f>CONCATENATE("var js",Table1[[#This Row],[IDs]]," = document.getElementbyId('",Table1[[#This Row],[IDs]],"').innerHTML; //  ",Table1[[#This Row],[Site]])</f>
        <v>var jsI05 = document.getElementbyId('I05').innerHTML; //  iSALUTE</v>
      </c>
      <c r="X143" s="1" t="str">
        <f t="shared" si="9"/>
        <v xml:space="preserve">        &lt;!--iSALUTE - https://www.inscom.army.mil/isalute/ --&gt;&lt;div class='column catAll catArmySites catDod catUsGov' style='margin-bottom: 0px;' id='I05'&gt;&lt;a href='https://www.inscom.army.mil/isalute/' rel='noopener noreferrer' class='column hideMarquee'&gt;&lt;div class='armyCardContainer card'&gt;&lt;div class='armyCard'&gt;&lt;div&gt;&lt;p class='marquee'&gt;iSALUTE is an Army counterintelligence reporting program to assist in preventing espionage, sabotage, subversion, and international terrorism. The program supports the Army's counterintelligence policy established in AR 381‐12, Threat Awareness and Reporting Program&lt;/p&gt;&lt;img src='assets/Card-125.jpg' class='cardImage' loading='lazy'&gt;&lt;/div&gt;&lt;div class='title'&gt;
          &lt;span&gt;iSALUTE&lt;/span&gt;&lt;/div&gt;&lt;/div&gt;&lt;/div&gt;&lt;/a&gt;&lt;/div&gt;&lt;script&gt;var jsI05 = document.getElementById('I05').innerHTML;&lt;/script&gt;</v>
      </c>
      <c r="Y14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iSALUTE - https://www.inscom.army.mil/isalute/ --&gt;
      &lt;summary&gt;• &lt;a href='https://www.inscom.army.mil/isalute/' rel='noopener noreferrer'&gt;iSALUTE - https://www.inscom.army.mil/isalute/&lt;/a&gt;&lt;/summary&gt;
      &lt;p&gt;iSALUTE is an Army counterintelligence reporting program to assist in preventing espionage, sabotage, subversion, and international terrorism. The program supports the Army's counterintelligence policy established in AR 381‐12, Threat Awareness and Reporting Program&lt;/p&gt;
    &lt;/details&gt;</v>
      </c>
      <c r="Z143" s="1" t="str">
        <f t="shared" si="8"/>
        <v xml:space="preserve">          &lt;!-- iSALUTE - https://www.inscom.army.mil/isalute/ --&gt;&lt;div id='dragI05' class='catAll catArmySites catDod catUsGov'&gt;&lt;div class='column hideMarquee' draggable='true' ondragstart='drag(event)' value='I05' id='I05'&gt;&lt;div class='armyCardContainer ssCard'&gt;&lt;div class='ssArmyCard'&gt;&lt;div&gt;&lt;p class='marquee'&gt;iSALUTE is an Army counterintelligence reporting program to assist in preventing espionage, sabotage, subversion, and international terrorism. The program supports the Army's counterintelligence policy established in AR 381‐12, Threat Awareness and Reporting Program&lt;/p&gt;&lt;img src='assets/Card-125.jpg' class='ssCardImage' draggable='false' loading='lazy'&gt;&lt;/div&gt;&lt;div class='ssTitle'&gt;&lt;span id='I05Title'&gt;iSALUTE&lt;/span&gt;&lt;/div&gt;&lt;/div&gt;&lt;/div&gt;&lt;/div&gt;&lt;/div&gt;&lt;script&gt;var jsI05 = document.getElementById('dragI05').innerHTML;&lt;/script&gt;</v>
      </c>
      <c r="AA143" s="1" t="str">
        <f>CONCATENATE("var js",Table1[[#This Row],[IDs]]," = document.getElementbyId('drag",Table1[[#This Row],[IDs]],"').innerHTML; //  ",Table1[[#This Row],[Site]])</f>
        <v>var jsI05 = document.getElementbyId('dragI05').innerHTML; //  iSALUTE</v>
      </c>
    </row>
    <row r="144" spans="1:27" ht="15" x14ac:dyDescent="0.25">
      <c r="A144" t="s">
        <v>224</v>
      </c>
      <c r="B144" t="s">
        <v>224</v>
      </c>
      <c r="C144" s="12" t="s">
        <v>225</v>
      </c>
      <c r="D144" t="s">
        <v>752</v>
      </c>
      <c r="E144" t="s">
        <v>751</v>
      </c>
      <c r="F144" s="1" t="s">
        <v>226</v>
      </c>
      <c r="G144" s="1" t="s">
        <v>900</v>
      </c>
      <c r="H144" s="1" t="s">
        <v>900</v>
      </c>
      <c r="I144" s="1" t="s">
        <v>18</v>
      </c>
      <c r="P144" s="1" t="s">
        <v>18</v>
      </c>
      <c r="W144" s="3" t="str">
        <f>CONCATENATE("var js",Table1[[#This Row],[IDs]]," = document.getElementbyId('",Table1[[#This Row],[IDs]],"').innerHTML; //  ",Table1[[#This Row],[Site]])</f>
        <v>var jsJ00 = document.getElementbyId('J00').innerHTML; //  JAG Corps</v>
      </c>
      <c r="X144" s="1" t="str">
        <f t="shared" si="9"/>
        <v xml:space="preserve">        &lt;!--JAG Corps - https://www.goarmy.com/jag.html --&gt;&lt;div class='column catAll catArmySites catLegal' style='margin-bottom: 0px;' id='J00'&gt;&lt;a href='https://www.goarmy.com/jag.html' rel='noopener noreferrer' class='column hideMarquee'&gt;&lt;div class='armyCardContainer card'&gt;&lt;div class='armyCard'&gt;&lt;div&gt;&lt;p class='marquee'&gt;The U.S. Army Judge Advocate General's Corps is a government organization that operates like a court system. Its practitioners, referred to as Judge Advocates, are licensed attorneys qualified to represent the Army and Army Soldiers in military legal matters.&lt;/p&gt;&lt;img src='assets/Card-010.jpg' class='cardImage' loading='lazy'&gt;&lt;/div&gt;&lt;div class='title'&gt;
          &lt;span&gt;JAG Corps&lt;/span&gt;&lt;/div&gt;&lt;/div&gt;&lt;/div&gt;&lt;/a&gt;&lt;/div&gt;&lt;script&gt;var jsJ00 = document.getElementById('J00').innerHTML;&lt;/script&gt;</v>
      </c>
      <c r="Y14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JAG Corps - https://www.goarmy.com/jag.html --&gt;
      &lt;summary&gt;• &lt;a href='https://www.goarmy.com/jag.html' rel='noopener noreferrer'&gt;JAG Corps - https://www.goarmy.com/jag.html&lt;/a&gt;&lt;/summary&gt;
      &lt;p&gt;The U.S. Army Judge Advocate General's Corps is a government organization that operates like a court system. Its practitioners, referred to as Judge Advocates, are licensed attorneys qualified to represent the Army and Army Soldiers in military legal matters.&lt;/p&gt;
    &lt;/details&gt;</v>
      </c>
      <c r="Z144" s="1" t="str">
        <f t="shared" si="8"/>
        <v xml:space="preserve">          &lt;!-- JAG Corps - https://www.goarmy.com/jag.html --&gt;&lt;div id='dragJ00' class='catAll catArmySites catLegal'&gt;&lt;div class='column hideMarquee' draggable='true' ondragstart='drag(event)' value='J00' id='J00'&gt;&lt;div class='armyCardContainer ssCard'&gt;&lt;div class='ssArmyCard'&gt;&lt;div&gt;&lt;p class='marquee'&gt;The U.S. Army Judge Advocate General's Corps is a government organization that operates like a court system. Its practitioners, referred to as Judge Advocates, are licensed attorneys qualified to represent the Army and Army Soldiers in military legal matters.&lt;/p&gt;&lt;img src='assets/Card-010.jpg' class='ssCardImage' draggable='false' loading='lazy'&gt;&lt;/div&gt;&lt;div class='ssTitle'&gt;&lt;span id='J00Title'&gt;JAG Corps&lt;/span&gt;&lt;/div&gt;&lt;/div&gt;&lt;/div&gt;&lt;/div&gt;&lt;/div&gt;&lt;script&gt;var jsJ00 = document.getElementById('dragJ00').innerHTML;&lt;/script&gt;</v>
      </c>
      <c r="AA144" s="1" t="str">
        <f>CONCATENATE("var js",Table1[[#This Row],[IDs]]," = document.getElementbyId('drag",Table1[[#This Row],[IDs]],"').innerHTML; //  ",Table1[[#This Row],[Site]])</f>
        <v>var jsJ00 = document.getElementbyId('dragJ00').innerHTML; //  JAG Corps</v>
      </c>
    </row>
    <row r="145" spans="1:27" ht="15" x14ac:dyDescent="0.25">
      <c r="A145" t="s">
        <v>227</v>
      </c>
      <c r="B145" t="s">
        <v>227</v>
      </c>
      <c r="C145" s="1" t="s">
        <v>228</v>
      </c>
      <c r="D145" t="s">
        <v>754</v>
      </c>
      <c r="E145" t="s">
        <v>753</v>
      </c>
      <c r="F145" s="1" t="s">
        <v>229</v>
      </c>
      <c r="G145" s="1" t="s">
        <v>900</v>
      </c>
      <c r="H145" s="1" t="s">
        <v>552</v>
      </c>
      <c r="I145" s="1" t="s">
        <v>18</v>
      </c>
      <c r="P145" s="1" t="s">
        <v>18</v>
      </c>
      <c r="Q145" s="1" t="s">
        <v>18</v>
      </c>
      <c r="W145" s="3" t="str">
        <f>CONCATENATE("var js",Table1[[#This Row],[IDs]]," = document.getElementbyId('",Table1[[#This Row],[IDs]],"').innerHTML; //  ",Table1[[#This Row],[Site]])</f>
        <v>var jsJ01 = document.getElementbyId('J01').innerHTML; //  JAG University</v>
      </c>
      <c r="X145" s="1" t="str">
        <f t="shared" si="9"/>
        <v xml:space="preserve">        &lt;!--JAG University - https://jagu.army.mil/ --&gt;&lt;div class='column catAll catArmySites catLegal catProDev' style='margin-bottom: 0px;' id='J01'&gt;&lt;a href='https://jagu.army.mil/' rel='noopener noreferrer' class='column hideMarquee'&gt;&lt;div class='armyCardContainer card'&gt;&lt;div class='armyCard'&gt;&lt;div&gt;&lt;p class='marquee'&gt;The online learning home of the Judge Advocate General's corps&lt;/p&gt;&lt;img src='assets/CaCRequired.png' title='A CAC is required to use some or all features of this site!' Class='cacLocked'&gt;&lt;img src='assets/Card-009.png' class='cardImage' loading='lazy'&gt;&lt;/div&gt;&lt;div class='title'&gt;
          &lt;span&gt;JAG University&lt;/span&gt;&lt;/div&gt;&lt;/div&gt;&lt;/div&gt;&lt;/a&gt;&lt;/div&gt;&lt;script&gt;var jsJ01 = document.getElementById('J01').innerHTML;&lt;/script&gt;</v>
      </c>
      <c r="Y14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JAG University - https://jagu.army.mil/ --&gt;
      &lt;summary&gt;• &lt;a href='https://jagu.army.mil/' rel='noopener noreferrer'&gt;JAG University - https://jagu.army.mil/&lt;/a&gt;&lt;/summary&gt;
      &lt;p&gt;The online learning home of the Judge Advocate General's corps&lt;/p&gt;
    &lt;/details&gt;</v>
      </c>
      <c r="Z145" s="1" t="str">
        <f t="shared" si="8"/>
        <v xml:space="preserve">          &lt;!-- JAG University - https://jagu.army.mil/ --&gt;&lt;div id='dragJ01' class='catAll catArmySites catLegal catProDev'&gt;&lt;div class='column hideMarquee' draggable='true' ondragstart='drag(event)' value='J01' id='J01'&gt;&lt;div class='armyCardContainer ssCard'&gt;&lt;div class='ssArmyCard'&gt;&lt;div&gt;&lt;p class='marquee'&gt;The online learning home of the Judge Advocate General's corps&lt;/p&gt;&lt;img src='assets/Card-009.png' class='ssCardImage' draggable='false' loading='lazy'&gt;&lt;/div&gt;&lt;div class='ssTitle'&gt;&lt;span id='J01Title'&gt;JAG University&lt;/span&gt;&lt;/div&gt;&lt;/div&gt;&lt;/div&gt;&lt;/div&gt;&lt;/div&gt;&lt;script&gt;var jsJ01 = document.getElementById('dragJ01').innerHTML;&lt;/script&gt;</v>
      </c>
      <c r="AA145" s="1" t="str">
        <f>CONCATENATE("var js",Table1[[#This Row],[IDs]]," = document.getElementbyId('drag",Table1[[#This Row],[IDs]],"').innerHTML; //  ",Table1[[#This Row],[Site]])</f>
        <v>var jsJ01 = document.getElementbyId('dragJ01').innerHTML; //  JAG University</v>
      </c>
    </row>
    <row r="146" spans="1:27" ht="15" x14ac:dyDescent="0.25">
      <c r="A146" t="s">
        <v>231</v>
      </c>
      <c r="B146" t="s">
        <v>231</v>
      </c>
      <c r="C146" s="1" t="s">
        <v>232</v>
      </c>
      <c r="D146" t="s">
        <v>758</v>
      </c>
      <c r="E146" t="s">
        <v>757</v>
      </c>
      <c r="F146" s="1" t="s">
        <v>233</v>
      </c>
      <c r="G146" s="1" t="s">
        <v>900</v>
      </c>
      <c r="H146" s="1" t="s">
        <v>552</v>
      </c>
      <c r="K146" s="1" t="s">
        <v>18</v>
      </c>
      <c r="S146" s="1" t="s">
        <v>18</v>
      </c>
      <c r="W146" s="3" t="str">
        <f>CONCATENATE("var js",Table1[[#This Row],[IDs]]," = document.getElementbyId('",Table1[[#This Row],[IDs]],"').innerHTML; //  ",Table1[[#This Row],[Site]])</f>
        <v>var jsJ03 = document.getElementbyId('J03').innerHTML; //  Joint Knowledge Online (JKO)</v>
      </c>
      <c r="X146" s="1" t="str">
        <f t="shared" si="9"/>
        <v xml:space="preserve">        &lt;!--Joint Knowledge Online (JKO) - https://jkodirect.jten.mil/  --&gt;&lt;div class='column catAll catDod catMilEd' style='margin-bottom: 0px;' id='J03'&gt;&lt;a href='https://jkodirect.jten.mil/ ' rel='noopener noreferrer' class='column hideMarquee'&gt;&lt;div class='armyCardContainer card'&gt;&lt;div class='armyCard'&gt;&lt;div&gt;&lt;p class='marquee'&gt;JKO provides continuous, career-long development of joint knowledge and joint readiness for individuals, staffs, Combatant Commands, Combat Support Agencies, and the Services.&lt;/p&gt;&lt;img src='assets/CaCRequired.png' title='A CAC is required to use some or all features of this site!' Class='cacLocked'&gt;&lt;img src='assets/Card-056.png' class='cardImage' loading='lazy'&gt;&lt;/div&gt;&lt;div class='title'&gt;
          &lt;span&gt;Joint Knowledge Online (JKO)&lt;/span&gt;&lt;/div&gt;&lt;/div&gt;&lt;/div&gt;&lt;/a&gt;&lt;/div&gt;&lt;script&gt;var jsJ03 = document.getElementById('J03').innerHTML;&lt;/script&gt;</v>
      </c>
      <c r="Y14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Joint Knowledge Online (JKO) - https://jkodirect.jten.mil/  --&gt;
      &lt;summary&gt;• &lt;a href='https://jkodirect.jten.mil/ ' rel='noopener noreferrer'&gt;Joint Knowledge Online (JKO) - https://jkodirect.jten.mil/ &lt;/a&gt;&lt;/summary&gt;
      &lt;p&gt;JKO provides continuous, career-long development of joint knowledge and joint readiness for individuals, staffs, Combatant Commands, Combat Support Agencies, and the Services.&lt;/p&gt;
    &lt;/details&gt;</v>
      </c>
      <c r="Z146" s="1" t="str">
        <f t="shared" si="8"/>
        <v xml:space="preserve">          &lt;!-- Joint Knowledge Online (JKO) - https://jkodirect.jten.mil/  --&gt;&lt;div id='dragJ03' class='catAll catDod catMilEd'&gt;&lt;div class='column hideMarquee' draggable='true' ondragstart='drag(event)' value='J03' id='J03'&gt;&lt;div class='armyCardContainer ssCard'&gt;&lt;div class='ssArmyCard'&gt;&lt;div&gt;&lt;p class='marquee'&gt;JKO provides continuous, career-long development of joint knowledge and joint readiness for individuals, staffs, Combatant Commands, Combat Support Agencies, and the Services.&lt;/p&gt;&lt;img src='assets/Card-056.png' class='ssCardImage' draggable='false' loading='lazy'&gt;&lt;/div&gt;&lt;div class='ssTitle'&gt;&lt;span id='J03Title'&gt;Joint Knowledge Online (JKO)&lt;/span&gt;&lt;/div&gt;&lt;/div&gt;&lt;/div&gt;&lt;/div&gt;&lt;/div&gt;&lt;script&gt;var jsJ03 = document.getElementById('dragJ03').innerHTML;&lt;/script&gt;</v>
      </c>
      <c r="AA146" s="1" t="str">
        <f>CONCATENATE("var js",Table1[[#This Row],[IDs]]," = document.getElementbyId('drag",Table1[[#This Row],[IDs]],"').innerHTML; //  ",Table1[[#This Row],[Site]])</f>
        <v>var jsJ03 = document.getElementbyId('dragJ03').innerHTML; //  Joint Knowledge Online (JKO)</v>
      </c>
    </row>
    <row r="147" spans="1:27" ht="15" x14ac:dyDescent="0.25">
      <c r="A147" t="s">
        <v>234</v>
      </c>
      <c r="B147" t="s">
        <v>234</v>
      </c>
      <c r="C147" s="1" t="s">
        <v>235</v>
      </c>
      <c r="D147" t="s">
        <v>760</v>
      </c>
      <c r="E147" t="s">
        <v>759</v>
      </c>
      <c r="F147" s="1" t="s">
        <v>402</v>
      </c>
      <c r="G147" s="1" t="s">
        <v>900</v>
      </c>
      <c r="H147" s="1" t="s">
        <v>552</v>
      </c>
      <c r="K147" s="1" t="s">
        <v>18</v>
      </c>
      <c r="W147" s="3" t="str">
        <f>CONCATENATE("var js",Table1[[#This Row],[IDs]]," = document.getElementbyId('",Table1[[#This Row],[IDs]],"').innerHTML; //  ",Table1[[#This Row],[Site]])</f>
        <v>var jsJ04 = document.getElementbyId('J04').innerHTML; //  Joint Risk Assesment Tool</v>
      </c>
      <c r="X147" s="1" t="str">
        <f t="shared" si="9"/>
        <v xml:space="preserve">        &lt;!--Joint Risk Assesment Tool - https://jrat.safety.army.mil/ --&gt;&lt;div class='column catAll catDod' style='margin-bottom: 0px;' id='J04'&gt;&lt;a href='https://jrat.safety.army.mil/' rel='noopener noreferrer' class='column hideMarquee'&gt;&lt;div class='armyCardContainer card'&gt;&lt;div class='armyCard'&gt;&lt;div&gt;&lt;p class='marquee'&gt;The Joint Risk Assessment Tool (JRAT) is an interactive, easy-to-use, automated system designed to assist users with the application of risk management in accordance with Joint Publication 3-0, Joint Operations, and Service-specific publications.&lt;/p&gt;&lt;img src='assets/CaCRequired.png' title='A CAC is required to use some or all features of this site!' Class='cacLocked'&gt;&lt;img src='assets/Card-116.png' class='cardImage' loading='lazy'&gt;&lt;/div&gt;&lt;div class='title'&gt;
          &lt;span&gt;Joint Risk Assesment Tool&lt;/span&gt;&lt;/div&gt;&lt;/div&gt;&lt;/div&gt;&lt;/a&gt;&lt;/div&gt;&lt;script&gt;var jsJ04 = document.getElementById('J04').innerHTML;&lt;/script&gt;</v>
      </c>
      <c r="Y14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Joint Risk Assesment Tool - https://jrat.safety.army.mil/ --&gt;
      &lt;summary&gt;• &lt;a href='https://jrat.safety.army.mil/' rel='noopener noreferrer'&gt;Joint Risk Assesment Tool - https://jrat.safety.army.mil/&lt;/a&gt;&lt;/summary&gt;
      &lt;p&gt;The Joint Risk Assessment Tool (JRAT) is an interactive, easy-to-use, automated system designed to assist users with the application of risk management in accordance with Joint Publication 3-0, Joint Operations, and Service-specific publications.&lt;/p&gt;
    &lt;/details&gt;</v>
      </c>
      <c r="Z147" s="1" t="str">
        <f t="shared" si="8"/>
        <v xml:space="preserve">          &lt;!-- Joint Risk Assesment Tool - https://jrat.safety.army.mil/ --&gt;&lt;div id='dragJ04' class='catAll catDod'&gt;&lt;div class='column hideMarquee' draggable='true' ondragstart='drag(event)' value='J04' id='J04'&gt;&lt;div class='armyCardContainer ssCard'&gt;&lt;div class='ssArmyCard'&gt;&lt;div&gt;&lt;p class='marquee'&gt;The Joint Risk Assessment Tool (JRAT) is an interactive, easy-to-use, automated system designed to assist users with the application of risk management in accordance with Joint Publication 3-0, Joint Operations, and Service-specific publications.&lt;/p&gt;&lt;img src='assets/Card-116.png' class='ssCardImage' draggable='false' loading='lazy'&gt;&lt;/div&gt;&lt;div class='ssTitle'&gt;&lt;span id='J04Title'&gt;Joint Risk Assesment Tool&lt;/span&gt;&lt;/div&gt;&lt;/div&gt;&lt;/div&gt;&lt;/div&gt;&lt;/div&gt;&lt;script&gt;var jsJ04 = document.getElementById('dragJ04').innerHTML;&lt;/script&gt;</v>
      </c>
      <c r="AA147" s="1" t="str">
        <f>CONCATENATE("var js",Table1[[#This Row],[IDs]]," = document.getElementbyId('drag",Table1[[#This Row],[IDs]],"').innerHTML; //  ",Table1[[#This Row],[Site]])</f>
        <v>var jsJ04 = document.getElementbyId('dragJ04').innerHTML; //  Joint Risk Assesment Tool</v>
      </c>
    </row>
    <row r="148" spans="1:27" ht="15" x14ac:dyDescent="0.25">
      <c r="A148" t="s">
        <v>236</v>
      </c>
      <c r="B148" t="s">
        <v>236</v>
      </c>
      <c r="C148" s="1" t="s">
        <v>237</v>
      </c>
      <c r="D148" t="s">
        <v>761</v>
      </c>
      <c r="E148" t="s">
        <v>762</v>
      </c>
      <c r="F148" s="1" t="s">
        <v>403</v>
      </c>
      <c r="G148" s="1" t="s">
        <v>900</v>
      </c>
      <c r="H148" s="1" t="s">
        <v>552</v>
      </c>
      <c r="S148" s="1" t="s">
        <v>18</v>
      </c>
      <c r="T148" s="1" t="s">
        <v>18</v>
      </c>
      <c r="W148" s="3" t="str">
        <f>CONCATENATE("var js",Table1[[#This Row],[IDs]]," = document.getElementbyId('",Table1[[#This Row],[IDs]],"').innerHTML; //  ",Table1[[#This Row],[Site]])</f>
        <v>var jsJ05 = document.getElementbyId('J05').innerHTML; //  Joint Service Trainscriptm (JST)</v>
      </c>
      <c r="X148" s="1" t="str">
        <f t="shared" si="9"/>
        <v xml:space="preserve">        &lt;!--Joint Service Trainscriptm (JST) - https://jst.doded.mil/jst/ --&gt;&lt;div class='column catAll catMilEd catCivEd' style='margin-bottom: 0px;' id='J05'&gt;&lt;a href='https://jst.doded.mil/jst/' rel='noopener noreferrer' class='column hideMarquee'&gt;&lt;div class='armyCardContainer card'&gt;&lt;div class='armyCard'&gt;&lt;div&gt;&lt;p class='marquee'&gt;Joint Services Transcript is an academically accepted document approved by the American Council on Education (ACE) to validate a service members military occupational experience and training along with the corresponding ACE college credit recommendations.&lt;/p&gt;&lt;img src='assets/CaCRequired.png' title='A CAC is required to use some or all features of this site!' Class='cacLocked'&gt;&lt;img src='assets/Card-113.png' class='cardImage' loading='lazy'&gt;&lt;/div&gt;&lt;div class='title'&gt;
          &lt;span&gt;Joint Service Trainscriptm (JST)&lt;/span&gt;&lt;/div&gt;&lt;/div&gt;&lt;/div&gt;&lt;/a&gt;&lt;/div&gt;&lt;script&gt;var jsJ05 = document.getElementById('J05').innerHTML;&lt;/script&gt;</v>
      </c>
      <c r="Y14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Joint Service Trainscriptm (JST) - https://jst.doded.mil/jst/ --&gt;
      &lt;summary&gt;• &lt;a href='https://jst.doded.mil/jst/' rel='noopener noreferrer'&gt;Joint Service Trainscriptm (JST) - https://jst.doded.mil/jst/&lt;/a&gt;&lt;/summary&gt;
      &lt;p&gt;Joint Services Transcript is an academically accepted document approved by the American Council on Education (ACE) to validate a service members military occupational experience and training along with the corresponding ACE college credit recommendations.&lt;/p&gt;
    &lt;/details&gt;</v>
      </c>
      <c r="Z148" s="1" t="str">
        <f t="shared" si="8"/>
        <v xml:space="preserve">          &lt;!-- Joint Service Trainscriptm (JST) - https://jst.doded.mil/jst/ --&gt;&lt;div id='dragJ05' class='catAll catMilEd catCivEd'&gt;&lt;div class='column hideMarquee' draggable='true' ondragstart='drag(event)' value='J05' id='J05'&gt;&lt;div class='armyCardContainer ssCard'&gt;&lt;div class='ssArmyCard'&gt;&lt;div&gt;&lt;p class='marquee'&gt;Joint Services Transcript is an academically accepted document approved by the American Council on Education (ACE) to validate a service members military occupational experience and training along with the corresponding ACE college credit recommendations.&lt;/p&gt;&lt;img src='assets/Card-113.png' class='ssCardImage' draggable='false' loading='lazy'&gt;&lt;/div&gt;&lt;div class='ssTitle'&gt;&lt;span id='J05Title'&gt;Joint Service Trainscriptm (JST)&lt;/span&gt;&lt;/div&gt;&lt;/div&gt;&lt;/div&gt;&lt;/div&gt;&lt;/div&gt;&lt;script&gt;var jsJ05 = document.getElementById('dragJ05').innerHTML;&lt;/script&gt;</v>
      </c>
      <c r="AA148" s="1" t="str">
        <f>CONCATENATE("var js",Table1[[#This Row],[IDs]]," = document.getElementbyId('drag",Table1[[#This Row],[IDs]],"').innerHTML; //  ",Table1[[#This Row],[Site]])</f>
        <v>var jsJ05 = document.getElementbyId('dragJ05').innerHTML; //  Joint Service Trainscriptm (JST)</v>
      </c>
    </row>
    <row r="149" spans="1:27" ht="15" x14ac:dyDescent="0.25">
      <c r="A149" t="s">
        <v>453</v>
      </c>
      <c r="B149" t="s">
        <v>453</v>
      </c>
      <c r="C149" s="8" t="s">
        <v>454</v>
      </c>
      <c r="D149" t="s">
        <v>764</v>
      </c>
      <c r="E149" t="s">
        <v>763</v>
      </c>
      <c r="F149" s="1" t="s">
        <v>452</v>
      </c>
      <c r="G149" s="1" t="s">
        <v>900</v>
      </c>
      <c r="H149" s="1" t="s">
        <v>552</v>
      </c>
      <c r="K149" s="1" t="s">
        <v>18</v>
      </c>
      <c r="S149" s="1" t="s">
        <v>18</v>
      </c>
      <c r="W149" s="3" t="str">
        <f>CONCATENATE("var js",Table1[[#This Row],[IDs]]," = document.getElementbyId('",Table1[[#This Row],[IDs]],"').innerHTML; //  ",Table1[[#This Row],[Site]])</f>
        <v>var jsL01 = document.getElementbyId('L01').innerHTML; //  LandWarNet eUniversity</v>
      </c>
      <c r="X149" s="1" t="str">
        <f t="shared" si="9"/>
        <v xml:space="preserve">        &lt;!--LandWarNet eUniversity - https://lwn.army.mil --&gt;&lt;div class='column catAll catDod catMilEd' style='margin-bottom: 0px;' id='L01'&gt;&lt;a href='https://lwn.army.mil' rel='noopener noreferrer' class='column hideMarquee'&gt;&lt;div class='armyCardContainer card'&gt;&lt;div class='armyCard'&gt;&lt;div&gt;&lt;p class='marquee'&gt;LandWarNet (LWN) is the United States Army’s contribution to the Global Information Grid that consists of all globally interconnected, end-to-end set of Army information capabilities, associated processes, and personnel for collecting, processing, storing, disseminating, and managing information on demand supporting warfighters, policy makers, and support personnel. It includes all Army (owned and leased) and leveraged Department of Defense (DOD)/Joint communications and computing systems and services, software (including applications), data security services, and other associated services. LandWarNet exists to enable the warfighter through Mission Command, previously described as Battle Command.&lt;/p&gt;&lt;img src='assets/CaCRequired.png' title='A CAC is required to use some or all features of this site!' Class='cacLocked'&gt;&lt;img src='assets/Card-138.jpg' class='cardImage' loading='lazy'&gt;&lt;/div&gt;&lt;div class='title'&gt;
          &lt;span&gt;LandWarNet eUniversity&lt;/span&gt;&lt;/div&gt;&lt;/div&gt;&lt;/div&gt;&lt;/a&gt;&lt;/div&gt;&lt;script&gt;var jsL01 = document.getElementById('L01').innerHTML;&lt;/script&gt;</v>
      </c>
      <c r="Y14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LandWarNet eUniversity - https://lwn.army.mil --&gt;
      &lt;summary&gt;• &lt;a href='https://lwn.army.mil' rel='noopener noreferrer'&gt;LandWarNet eUniversity - https://lwn.army.mil&lt;/a&gt;&lt;/summary&gt;
      &lt;p&gt;LandWarNet (LWN) is the United States Army’s contribution to the Global Information Grid that consists of all globally interconnected, end-to-end set of Army information capabilities, associated processes, and personnel for collecting, processing, storing, disseminating, and managing information on demand supporting warfighters, policy makers, and support personnel. It includes all Army (owned and leased) and leveraged Department of Defense (DOD)/Joint communications and computing systems and services, software (including applications), data security services, and other associated services. LandWarNet exists to enable the warfighter through Mission Command, previously described as Battle Command.&lt;/p&gt;
    &lt;/details&gt;</v>
      </c>
      <c r="Z149" s="1" t="str">
        <f t="shared" si="8"/>
        <v xml:space="preserve">          &lt;!-- LandWarNet eUniversity - https://lwn.army.mil --&gt;&lt;div id='dragL01' class='catAll catDod catMilEd'&gt;&lt;div class='column hideMarquee' draggable='true' ondragstart='drag(event)' value='L01' id='L01'&gt;&lt;div class='armyCardContainer ssCard'&gt;&lt;div class='ssArmyCard'&gt;&lt;div&gt;&lt;p class='marquee'&gt;LandWarNet (LWN) is the United States Army’s contribution to the Global Information Grid that consists of all globally interconnected, end-to-end set of Army information capabilities, associated processes, and personnel for collecting, processing, storing, disseminating, and managing information on demand supporting warfighters, policy makers, and support personnel. It includes all Army (owned and leased) and leveraged Department of Defense (DOD)/Joint communications and computing systems and services, software (including applications), data security services, and other associated services. LandWarNet exists to enable the warfighter through Mission Command, previously described as Battle Command.&lt;/p&gt;&lt;img src='assets/Card-138.jpg' class='ssCardImage' draggable='false' loading='lazy'&gt;&lt;/div&gt;&lt;div class='ssTitle'&gt;&lt;span id='L01Title'&gt;LandWarNet eUniversity&lt;/span&gt;&lt;/div&gt;&lt;/div&gt;&lt;/div&gt;&lt;/div&gt;&lt;/div&gt;&lt;script&gt;var jsL01 = document.getElementById('dragL01').innerHTML;&lt;/script&gt;</v>
      </c>
      <c r="AA149" s="1" t="str">
        <f>CONCATENATE("var js",Table1[[#This Row],[IDs]]," = document.getElementbyId('drag",Table1[[#This Row],[IDs]],"').innerHTML; //  ",Table1[[#This Row],[Site]])</f>
        <v>var jsL01 = document.getElementbyId('dragL01').innerHTML; //  LandWarNet eUniversity</v>
      </c>
    </row>
    <row r="150" spans="1:27" ht="15" x14ac:dyDescent="0.25">
      <c r="A150" t="s">
        <v>238</v>
      </c>
      <c r="B150" t="s">
        <v>238</v>
      </c>
      <c r="C150" s="12" t="s">
        <v>239</v>
      </c>
      <c r="D150" t="s">
        <v>766</v>
      </c>
      <c r="E150" t="s">
        <v>765</v>
      </c>
      <c r="F150" s="1" t="s">
        <v>240</v>
      </c>
      <c r="G150" s="1" t="s">
        <v>900</v>
      </c>
      <c r="H150" s="1" t="s">
        <v>552</v>
      </c>
      <c r="N150" s="1" t="s">
        <v>18</v>
      </c>
      <c r="W150" s="3" t="str">
        <f>CONCATENATE("var js",Table1[[#This Row],[IDs]]," = document.getElementbyId('",Table1[[#This Row],[IDs]],"').innerHTML; //  ",Table1[[#This Row],[Site]])</f>
        <v>var jsL00 = document.getElementbyId('L00').innerHTML; //  LHI Appointment Scheduling</v>
      </c>
      <c r="X150" s="1" t="str">
        <f t="shared" si="9"/>
        <v xml:space="preserve">        &lt;!--LHI Appointment Scheduling - https://lhi.care/start/ --&gt;&lt;div class='column catAll catHealth' style='margin-bottom: 0px;' id='L00'&gt;&lt;a href='https://lhi.care/start/' rel='noopener noreferrer' class='column hideMarquee'&gt;&lt;div class='armyCardContainer card'&gt;&lt;div class='armyCard'&gt;&lt;div&gt;&lt;p class='marquee'&gt;LHI is the federal health services business of both Optum and UnitedHealth Group (NYSE: UNH). It brings together the vast resources and clinical insights of UnitedHealthcare's unique health services, along with the innovation, technology and scalability of Optum.&lt;/p&gt;&lt;img src='assets/CaCRequired.png' title='A CAC is required to use some or all features of this site!' Class='cacLocked'&gt;&lt;img src='assets/Card-050.png' class='cardImage' loading='lazy'&gt;&lt;/div&gt;&lt;div class='title'&gt;
          &lt;span&gt;LHI Appointment Scheduling&lt;/span&gt;&lt;/div&gt;&lt;/div&gt;&lt;/div&gt;&lt;/a&gt;&lt;/div&gt;&lt;script&gt;var jsL00 = document.getElementById('L00').innerHTML;&lt;/script&gt;</v>
      </c>
      <c r="Y15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LHI Appointment Scheduling - https://lhi.care/start/ --&gt;
      &lt;summary&gt;• &lt;a href='https://lhi.care/start/' rel='noopener noreferrer'&gt;LHI Appointment Scheduling - https://lhi.care/start/&lt;/a&gt;&lt;/summary&gt;
      &lt;p&gt;LHI is the federal health services business of both Optum and UnitedHealth Group (NYSE: UNH). It brings together the vast resources and clinical insights of UnitedHealthcare's unique health services, along with the innovation, technology and scalability of Optum.&lt;/p&gt;
    &lt;/details&gt;</v>
      </c>
      <c r="Z150" s="1" t="str">
        <f t="shared" si="8"/>
        <v xml:space="preserve">          &lt;!-- LHI Appointment Scheduling - https://lhi.care/start/ --&gt;&lt;div id='dragL00' class='catAll catHealth'&gt;&lt;div class='column hideMarquee' draggable='true' ondragstart='drag(event)' value='L00' id='L00'&gt;&lt;div class='armyCardContainer ssCard'&gt;&lt;div class='ssArmyCard'&gt;&lt;div&gt;&lt;p class='marquee'&gt;LHI is the federal health services business of both Optum and UnitedHealth Group (NYSE: UNH). It brings together the vast resources and clinical insights of UnitedHealthcare's unique health services, along with the innovation, technology and scalability of Optum.&lt;/p&gt;&lt;img src='assets/Card-050.png' class='ssCardImage' draggable='false' loading='lazy'&gt;&lt;/div&gt;&lt;div class='ssTitle'&gt;&lt;span id='L00Title'&gt;LHI Appointment Scheduling&lt;/span&gt;&lt;/div&gt;&lt;/div&gt;&lt;/div&gt;&lt;/div&gt;&lt;/div&gt;&lt;script&gt;var jsL00 = document.getElementById('dragL00').innerHTML;&lt;/script&gt;</v>
      </c>
      <c r="AA150" s="1" t="str">
        <f>CONCATENATE("var js",Table1[[#This Row],[IDs]]," = document.getElementbyId('drag",Table1[[#This Row],[IDs]],"').innerHTML; //  ",Table1[[#This Row],[Site]])</f>
        <v>var jsL00 = document.getElementbyId('dragL00').innerHTML; //  LHI Appointment Scheduling</v>
      </c>
    </row>
    <row r="151" spans="1:27" ht="15" hidden="1" x14ac:dyDescent="0.25">
      <c r="A151" t="s">
        <v>936</v>
      </c>
      <c r="B151" t="s">
        <v>936</v>
      </c>
      <c r="C151" s="11" t="s">
        <v>510</v>
      </c>
      <c r="D151" t="s">
        <v>639</v>
      </c>
      <c r="E151"/>
      <c r="F151" s="1" t="s">
        <v>946</v>
      </c>
      <c r="W151" s="3" t="str">
        <f>CONCATENATE("var js",Table1[[#This Row],[IDs]]," = document.getElementbyId('",Table1[[#This Row],[IDs]],"').innerHTML; //  ",Table1[[#This Row],[Site]])</f>
        <v>var jsL02 = document.getElementbyId('L02').innerHTML; //  Logistics Data Analysis Center</v>
      </c>
      <c r="X151" s="1" t="str">
        <f>CONCATENATE("        &lt;!--",A151," - ",C151," --&gt;
        &lt;div class='column catAll",IF(I151="X"," catArmySites",""),IF(J151="X"," catCombatReadiness",""),IF(K151="X"," catDod",""),IF(L151="X"," catFamily",""),IF(M151="X"," catFinance",""),IF(N151="X"," catHealth",""),IF(O151="X"," catHuman",""),IF(P151="X"," catLegal",""),IF(Q151="X"," catProDev",""),IF(R151="X"," catTech",""),IF(S151="X"," catMilEd",""),IF(T151="X"," catCivEd",""),IF(U151="X"," catUsGov",""),"' style='margin-bottom: 0px;' id='",F151,"'&gt;
          &lt;a href='",C151,"' rel='noopener noreferrer' class='column hideMarquee'&gt;
            &lt;div class='armyCardContainer card'&gt;
              &lt;div class='armyCard'&gt;
                &lt;div&gt;
                  &lt;p class='marquee'&gt;",E151,"&lt;/p&gt;",
IF(H151="Yes","									&lt;img src='assets/CaCRequired.png'  title='A CAC is required to use some or all features of this site!' Class='cacLocked'&gt;
",""),IF(G151="Yes","									&lt;img src='assets/DODlock.png' title='This Site requires a DoD network connection to be used!' Class='dodLocked'&gt;
",""),"
                  &lt;img src='assets/",D151,"' class='cardImage' loading='lazy'&gt;
                &lt;/div&gt;
                &lt;div class='title'&gt;
                  &lt;span&gt;",A151,"&lt;/span&gt;
                &lt;/div&gt;
              &lt;/div&gt;
            &lt;/div&gt;
          &lt;/a&gt;
        &lt;/div&gt;")</f>
        <v xml:space="preserve">        &lt;!--Logistics Data Analysis Center - https://ent.ldac.army.mil/etmapp/#/etm/home --&gt;
        &lt;div class='column catAll' style='margin-bottom: 0px;' id='L02'&gt;
          &lt;a href='https://ent.ldac.army.mil/etmapp/#/etm/home' rel='noopener noreferrer' class='column hideMarquee'&gt;
            &lt;div class='armyCardContainer card'&gt;
              &lt;div class='armyCard'&gt;
                &lt;div&gt;
                  &lt;p class='marquee'&gt;&lt;/p&gt;
                  &lt;img src='assets/Card-000.gif' class='cardImage' loading='lazy'&gt;
                &lt;/div&gt;
                &lt;div class='title'&gt;
                  &lt;span&gt;Logistics Data Analysis Center&lt;/span&gt;
                &lt;/div&gt;
              &lt;/div&gt;
            &lt;/div&gt;
          &lt;/a&gt;
        &lt;/div&gt;</v>
      </c>
      <c r="Y15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Logistics Data Analysis Center - https://ent.ldac.army.mil/etmapp/#/etm/home --&gt;
      &lt;summary&gt;• &lt;a href='https://ent.ldac.army.mil/etmapp/#/etm/home' rel='noopener noreferrer'&gt;Logistics Data Analysis Center - https://ent.ldac.army.mil/etmapp/#/etm/home&lt;/a&gt;&lt;/summary&gt;
      &lt;p&gt;&lt;/p&gt;
    &lt;/details&gt;</v>
      </c>
      <c r="Z151" s="1" t="str">
        <f t="shared" si="8"/>
        <v xml:space="preserve">          &lt;!-- Logistics Data Analysis Center - https://ent.ldac.army.mil/etmapp/#/etm/home --&gt;&lt;div id='dragL02' class='catAll'&gt;&lt;div class='column hideMarquee' draggable='true' ondragstart='drag(event)' value='L02' id='L02'&gt;&lt;div class='armyCardContainer ssCard'&gt;&lt;div class='ssArmyCard'&gt;&lt;div&gt;&lt;p class='marquee'&gt;&lt;/p&gt;&lt;img src='assets/Card-000.gif' class='ssCardImage' draggable='false' loading='lazy'&gt;&lt;/div&gt;&lt;div class='ssTitle'&gt;&lt;span id='L02Title'&gt;Logistics Data Analysis Center&lt;/span&gt;&lt;/div&gt;&lt;/div&gt;&lt;/div&gt;&lt;/div&gt;&lt;/div&gt;&lt;script&gt;var jsL02 = document.getElementById('dragL02').innerHTML;&lt;/script&gt;</v>
      </c>
      <c r="AA151" s="1" t="str">
        <f>CONCATENATE("var js",Table1[[#This Row],[IDs]]," = document.getElementbyId('drag",Table1[[#This Row],[IDs]],"').innerHTML; //  ",Table1[[#This Row],[Site]])</f>
        <v>var jsL02 = document.getElementbyId('dragL02').innerHTML; //  Logistics Data Analysis Center</v>
      </c>
    </row>
    <row r="152" spans="1:27" ht="15" x14ac:dyDescent="0.25">
      <c r="A152" t="s">
        <v>241</v>
      </c>
      <c r="B152" t="s">
        <v>241</v>
      </c>
      <c r="C152" s="12" t="s">
        <v>242</v>
      </c>
      <c r="D152" t="s">
        <v>768</v>
      </c>
      <c r="E152" t="s">
        <v>767</v>
      </c>
      <c r="F152" s="1" t="s">
        <v>243</v>
      </c>
      <c r="G152" s="1" t="s">
        <v>900</v>
      </c>
      <c r="H152" s="1" t="s">
        <v>900</v>
      </c>
      <c r="N152" s="1" t="s">
        <v>18</v>
      </c>
      <c r="W152" s="3" t="str">
        <f>CONCATENATE("var js",Table1[[#This Row],[IDs]]," = document.getElementbyId('",Table1[[#This Row],[IDs]],"').innerHTML; //  ",Table1[[#This Row],[Site]])</f>
        <v>var jsM00 = document.getElementbyId('M00').innerHTML; //  Medical Operational Data System</v>
      </c>
      <c r="X152" s="1" t="str">
        <f t="shared" ref="X152:X169" si="10">CONCATENATE("        &lt;!--",A152," - ",C152," --&gt;&lt;div class='column catAll",IF(I152="X"," catArmySites",""),IF(J152="X"," catCombatReadiness",""),IF(K152="X"," catDod",""),IF(L152="X"," catFamily",""),IF(M152="X"," catFinance",""),IF(N152="X"," catHealth",""),IF(O152="X"," catHuman",""),IF(P152="X"," catLegal",""),IF(Q152="X"," catProDev",""),IF(R152="X"," catTech",""),IF(S152="X"," catMilEd",""),IF(T152="X"," catCivEd",""),IF(U152="X"," catUsGov",""),"' style='margin-bottom: 0px;' id='",F152,"'&gt;&lt;a href='",C152,"' rel='noopener noreferrer' class='column hideMarquee'&gt;&lt;div class='armyCardContainer card'&gt;&lt;div class='armyCard'&gt;&lt;div&gt;&lt;p class='marquee'&gt;",E152,"&lt;/p&gt;",IF(H152="Yes","&lt;img src='assets/CaCRequired.png' title='A CAC is required to use some or all features of this site!' Class='cacLocked'&gt;",""),IF(G152="Yes","&lt;img src='assets/DODlock.png' title='This Site requires a DoD network connection to be used!' Class='dodLocked'&gt;",""),"&lt;img src='assets/",D152,"' class='cardImage' loading='lazy'&gt;&lt;/div&gt;&lt;div class='title'&gt;
          &lt;span&gt;",A152,"&lt;/span&gt;&lt;/div&gt;&lt;/div&gt;&lt;/div&gt;&lt;/a&gt;&lt;/div&gt;&lt;script&gt;var js",F152," = document.getElementById('",F152,"').innerHTML;&lt;/script&gt;")</f>
        <v xml:space="preserve">        &lt;!--Medical Operational Data System - https://www.mods.army.mil/ --&gt;&lt;div class='column catAll catHealth' style='margin-bottom: 0px;' id='M00'&gt;&lt;a href='https://www.mods.army.mil/' rel='noopener noreferrer' class='column hideMarquee'&gt;&lt;div class='armyCardContainer card'&gt;&lt;div class='armyCard'&gt;&lt;div&gt;&lt;p class='marquee'&gt;Medical Operational Data System (MODS) is designed to provide the provide Army Medical Department (AMEDD) leadership with an integrated system to manage AMEDD human resources (HR), logistics, education, manpower, and Army medical readiness programs. MODS is an integrated automation system that supports all phases of the AMEDD Human Resource Life-Cycle management processes in both peacetime and mobilization.&lt;/p&gt;&lt;img src='assets/Card-106.png' class='cardImage' loading='lazy'&gt;&lt;/div&gt;&lt;div class='title'&gt;
          &lt;span&gt;Medical Operational Data System&lt;/span&gt;&lt;/div&gt;&lt;/div&gt;&lt;/div&gt;&lt;/a&gt;&lt;/div&gt;&lt;script&gt;var jsM00 = document.getElementById('M00').innerHTML;&lt;/script&gt;</v>
      </c>
      <c r="Y15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Medical Operational Data System - https://www.mods.army.mil/ --&gt;
      &lt;summary&gt;• &lt;a href='https://www.mods.army.mil/' rel='noopener noreferrer'&gt;Medical Operational Data System - https://www.mods.army.mil/&lt;/a&gt;&lt;/summary&gt;
      &lt;p&gt;Medical Operational Data System (MODS) is designed to provide the provide Army Medical Department (AMEDD) leadership with an integrated system to manage AMEDD human resources (HR), logistics, education, manpower, and Army medical readiness programs. MODS is an integrated automation system that supports all phases of the AMEDD Human Resource Life-Cycle management processes in both peacetime and mobilization.&lt;/p&gt;
    &lt;/details&gt;</v>
      </c>
      <c r="Z152" s="1" t="str">
        <f t="shared" si="8"/>
        <v xml:space="preserve">          &lt;!-- Medical Operational Data System - https://www.mods.army.mil/ --&gt;&lt;div id='dragM00' class='catAll catHealth'&gt;&lt;div class='column hideMarquee' draggable='true' ondragstart='drag(event)' value='M00' id='M00'&gt;&lt;div class='armyCardContainer ssCard'&gt;&lt;div class='ssArmyCard'&gt;&lt;div&gt;&lt;p class='marquee'&gt;Medical Operational Data System (MODS) is designed to provide the provide Army Medical Department (AMEDD) leadership with an integrated system to manage AMEDD human resources (HR), logistics, education, manpower, and Army medical readiness programs. MODS is an integrated automation system that supports all phases of the AMEDD Human Resource Life-Cycle management processes in both peacetime and mobilization.&lt;/p&gt;&lt;img src='assets/Card-106.png' class='ssCardImage' draggable='false' loading='lazy'&gt;&lt;/div&gt;&lt;div class='ssTitle'&gt;&lt;span id='M00Title'&gt;Medical Operational Data System&lt;/span&gt;&lt;/div&gt;&lt;/div&gt;&lt;/div&gt;&lt;/div&gt;&lt;/div&gt;&lt;script&gt;var jsM00 = document.getElementById('dragM00').innerHTML;&lt;/script&gt;</v>
      </c>
      <c r="AA152" s="1" t="str">
        <f>CONCATENATE("var js",Table1[[#This Row],[IDs]]," = document.getElementbyId('drag",Table1[[#This Row],[IDs]],"').innerHTML; //  ",Table1[[#This Row],[Site]])</f>
        <v>var jsM00 = document.getElementbyId('dragM00').innerHTML; //  Medical Operational Data System</v>
      </c>
    </row>
    <row r="153" spans="1:27" ht="15" x14ac:dyDescent="0.25">
      <c r="A153" t="s">
        <v>244</v>
      </c>
      <c r="B153" t="s">
        <v>244</v>
      </c>
      <c r="C153" s="12" t="s">
        <v>929</v>
      </c>
      <c r="D153" t="s">
        <v>770</v>
      </c>
      <c r="E153" t="s">
        <v>769</v>
      </c>
      <c r="F153" s="1" t="s">
        <v>245</v>
      </c>
      <c r="G153" s="1" t="s">
        <v>900</v>
      </c>
      <c r="H153" s="1" t="s">
        <v>900</v>
      </c>
      <c r="N153" s="1" t="s">
        <v>18</v>
      </c>
      <c r="U153" s="1" t="s">
        <v>18</v>
      </c>
      <c r="W153" s="3" t="str">
        <f>CONCATENATE("var js",Table1[[#This Row],[IDs]]," = document.getElementbyId('",Table1[[#This Row],[IDs]],"').innerHTML; //  ",Table1[[#This Row],[Site]])</f>
        <v>var jsM01 = document.getElementbyId('M01').innerHTML; //  MEDLine Plus</v>
      </c>
      <c r="X153" s="1" t="str">
        <f t="shared" si="10"/>
        <v xml:space="preserve">        &lt;!--MEDLine Plus - https://medlineplus.gov/n --&gt;&lt;div class='column catAll catHealth catUsGov' style='margin-bottom: 0px;' id='M01'&gt;&lt;a href='https://medlineplus.gov/n' rel='noopener noreferrer' class='column hideMarquee'&gt;&lt;div class='armyCardContainer card'&gt;&lt;div class='armyCard'&gt;&lt;div&gt;&lt;p class='marquee'&gt;MedlinePlus is an online health information resource for patients and their families and friends. It is a service of the National Library of Medicine (NLM), the world's largest medical library, and a part of the National Institutes of Health (NIH).&lt;/p&gt;&lt;img src='assets/Card-059.png' class='cardImage' loading='lazy'&gt;&lt;/div&gt;&lt;div class='title'&gt;
          &lt;span&gt;MEDLine Plus&lt;/span&gt;&lt;/div&gt;&lt;/div&gt;&lt;/div&gt;&lt;/a&gt;&lt;/div&gt;&lt;script&gt;var jsM01 = document.getElementById('M01').innerHTML;&lt;/script&gt;</v>
      </c>
      <c r="Y15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MEDLine Plus - https://medlineplus.gov/n --&gt;
      &lt;summary&gt;• &lt;a href='https://medlineplus.gov/n' rel='noopener noreferrer'&gt;MEDLine Plus - https://medlineplus.gov/n&lt;/a&gt;&lt;/summary&gt;
      &lt;p&gt;MedlinePlus is an online health information resource for patients and their families and friends. It is a service of the National Library of Medicine (NLM), the world's largest medical library, and a part of the National Institutes of Health (NIH).&lt;/p&gt;
    &lt;/details&gt;</v>
      </c>
      <c r="Z153" s="1" t="str">
        <f t="shared" si="8"/>
        <v xml:space="preserve">          &lt;!-- MEDLine Plus - https://medlineplus.gov/n --&gt;&lt;div id='dragM01' class='catAll catHealth catUsGov'&gt;&lt;div class='column hideMarquee' draggable='true' ondragstart='drag(event)' value='M01' id='M01'&gt;&lt;div class='armyCardContainer ssCard'&gt;&lt;div class='ssArmyCard'&gt;&lt;div&gt;&lt;p class='marquee'&gt;MedlinePlus is an online health information resource for patients and their families and friends. It is a service of the National Library of Medicine (NLM), the world's largest medical library, and a part of the National Institutes of Health (NIH).&lt;/p&gt;&lt;img src='assets/Card-059.png' class='ssCardImage' draggable='false' loading='lazy'&gt;&lt;/div&gt;&lt;div class='ssTitle'&gt;&lt;span id='M01Title'&gt;MEDLine Plus&lt;/span&gt;&lt;/div&gt;&lt;/div&gt;&lt;/div&gt;&lt;/div&gt;&lt;/div&gt;&lt;script&gt;var jsM01 = document.getElementById('dragM01').innerHTML;&lt;/script&gt;</v>
      </c>
      <c r="AA153" s="1" t="str">
        <f>CONCATENATE("var js",Table1[[#This Row],[IDs]]," = document.getElementbyId('drag",Table1[[#This Row],[IDs]],"').innerHTML; //  ",Table1[[#This Row],[Site]])</f>
        <v>var jsM01 = document.getElementbyId('dragM01').innerHTML; //  MEDLine Plus</v>
      </c>
    </row>
    <row r="154" spans="1:27" ht="15" x14ac:dyDescent="0.25">
      <c r="A154" t="s">
        <v>246</v>
      </c>
      <c r="B154" t="s">
        <v>246</v>
      </c>
      <c r="C154" s="1" t="s">
        <v>247</v>
      </c>
      <c r="D154" t="s">
        <v>772</v>
      </c>
      <c r="E154" t="s">
        <v>771</v>
      </c>
      <c r="F154" s="1" t="s">
        <v>248</v>
      </c>
      <c r="G154" s="1" t="s">
        <v>900</v>
      </c>
      <c r="H154" s="1" t="s">
        <v>552</v>
      </c>
      <c r="N154" s="1" t="s">
        <v>18</v>
      </c>
      <c r="W154" s="3" t="str">
        <f>CONCATENATE("var js",Table1[[#This Row],[IDs]]," = document.getElementbyId('",Table1[[#This Row],[IDs]],"').innerHTML; //  ",Table1[[#This Row],[Site]])</f>
        <v>var jsM02 = document.getElementbyId('M02').innerHTML; //  Medpros (ADMIN)</v>
      </c>
      <c r="X154" s="1" t="str">
        <f t="shared" si="10"/>
        <v xml:space="preserve">        &lt;!--Medpros (ADMIN) - https://medpros.mods.army.mil/medprosnew/ --&gt;&lt;div class='column catAll catHealth' style='margin-bottom: 0px;' id='M02'&gt;&lt;a href='https://medpros.mods.army.mil/medprosnew/' rel='noopener noreferrer' class='column hideMarquee'&gt;&lt;div class='armyCardContainer card'&gt;&lt;div class='armyCard'&gt;&lt;div&gt;&lt;p class='marquee'&gt;MEDPROS is the Army's automated database designed to meet Department of Defense requirements in maintaining unit and individual medical readiness. It is designed to provide commanders with a real-time, world-wide operational system to manage the medical readiness and deployability of their unit.&lt;/p&gt;&lt;img src='assets/CaCRequired.png' title='A CAC is required to use some or all features of this site!' Class='cacLocked'&gt;&lt;img src='assets/Card-006.png' class='cardImage' loading='lazy'&gt;&lt;/div&gt;&lt;div class='title'&gt;
          &lt;span&gt;Medpros (ADMIN)&lt;/span&gt;&lt;/div&gt;&lt;/div&gt;&lt;/div&gt;&lt;/a&gt;&lt;/div&gt;&lt;script&gt;var jsM02 = document.getElementById('M02').innerHTML;&lt;/script&gt;</v>
      </c>
      <c r="Y15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Medpros (ADMIN) - https://medpros.mods.army.mil/medprosnew/ --&gt;
      &lt;summary&gt;• &lt;a href='https://medpros.mods.army.mil/medprosnew/' rel='noopener noreferrer'&gt;Medpros (ADMIN) - https://medpros.mods.army.mil/medprosnew/&lt;/a&gt;&lt;/summary&gt;
      &lt;p&gt;MEDPROS is the Army's automated database designed to meet Department of Defense requirements in maintaining unit and individual medical readiness. It is designed to provide commanders with a real-time, world-wide operational system to manage the medical readiness and deployability of their unit.&lt;/p&gt;
    &lt;/details&gt;</v>
      </c>
      <c r="Z154" s="1" t="str">
        <f t="shared" si="8"/>
        <v xml:space="preserve">          &lt;!-- Medpros (ADMIN) - https://medpros.mods.army.mil/medprosnew/ --&gt;&lt;div id='dragM02' class='catAll catHealth'&gt;&lt;div class='column hideMarquee' draggable='true' ondragstart='drag(event)' value='M02' id='M02'&gt;&lt;div class='armyCardContainer ssCard'&gt;&lt;div class='ssArmyCard'&gt;&lt;div&gt;&lt;p class='marquee'&gt;MEDPROS is the Army's automated database designed to meet Department of Defense requirements in maintaining unit and individual medical readiness. It is designed to provide commanders with a real-time, world-wide operational system to manage the medical readiness and deployability of their unit.&lt;/p&gt;&lt;img src='assets/Card-006.png' class='ssCardImage' draggable='false' loading='lazy'&gt;&lt;/div&gt;&lt;div class='ssTitle'&gt;&lt;span id='M02Title'&gt;Medpros (ADMIN)&lt;/span&gt;&lt;/div&gt;&lt;/div&gt;&lt;/div&gt;&lt;/div&gt;&lt;/div&gt;&lt;script&gt;var jsM02 = document.getElementById('dragM02').innerHTML;&lt;/script&gt;</v>
      </c>
      <c r="AA154" s="1" t="str">
        <f>CONCATENATE("var js",Table1[[#This Row],[IDs]]," = document.getElementbyId('drag",Table1[[#This Row],[IDs]],"').innerHTML; //  ",Table1[[#This Row],[Site]])</f>
        <v>var jsM02 = document.getElementbyId('dragM02').innerHTML; //  Medpros (ADMIN)</v>
      </c>
    </row>
    <row r="155" spans="1:27" ht="15" x14ac:dyDescent="0.25">
      <c r="A155" t="s">
        <v>887</v>
      </c>
      <c r="B155" t="s">
        <v>887</v>
      </c>
      <c r="C155" s="10" t="s">
        <v>504</v>
      </c>
      <c r="D155" t="s">
        <v>772</v>
      </c>
      <c r="E155" t="s">
        <v>888</v>
      </c>
      <c r="F155" s="2" t="s">
        <v>947</v>
      </c>
      <c r="G155" s="2" t="s">
        <v>900</v>
      </c>
      <c r="H155" s="2" t="s">
        <v>552</v>
      </c>
      <c r="I155" s="2"/>
      <c r="J155" s="2"/>
      <c r="K155" s="2"/>
      <c r="L155" s="2"/>
      <c r="M155" s="2"/>
      <c r="N155" s="2" t="s">
        <v>18</v>
      </c>
      <c r="O155" s="2"/>
      <c r="P155" s="2"/>
      <c r="Q155" s="2"/>
      <c r="R155" s="2"/>
      <c r="S155" s="2"/>
      <c r="T155" s="2"/>
      <c r="U155" s="2"/>
      <c r="V155" s="2"/>
      <c r="W155" s="3" t="str">
        <f>CONCATENATE("var js",Table1[[#This Row],[IDs]]," = document.getElementbyId('",Table1[[#This Row],[IDs]],"').innerHTML; //  ",Table1[[#This Row],[Site]])</f>
        <v>var jsM25 = document.getElementbyId('M25').innerHTML; //  MEDPROS Medical Health Assestment (MHA)</v>
      </c>
      <c r="X155" s="1" t="str">
        <f t="shared" si="10"/>
        <v xml:space="preserve">        &lt;!--MEDPROS Medical Health Assestment (MHA) - https://rc.mods.army.mil/MHA/pdha/DHADeploymentCheck.aspx --&gt;&lt;div class='column catAll catHealth' style='margin-bottom: 0px;' id='M25'&gt;&lt;a href='https://rc.mods.army.mil/MHA/pdha/DHADeploymentCheck.aspx' rel='noopener noreferrer' class='column hideMarquee'&gt;&lt;div class='armyCardContainer card'&gt;&lt;div class='armyCard'&gt;&lt;div&gt;&lt;p class='marquee'&gt;MEDPROS Medical Health Assestment (MHA) alows you to complete periodic health assesments, pre-deployment, post-deployment, post-deployment reassesment and mental health assessment forms. &lt;/p&gt;&lt;img src='assets/CaCRequired.png' title='A CAC is required to use some or all features of this site!' Class='cacLocked'&gt;&lt;img src='assets/Card-006.png' class='cardImage' loading='lazy'&gt;&lt;/div&gt;&lt;div class='title'&gt;
          &lt;span&gt;MEDPROS Medical Health Assestment (MHA)&lt;/span&gt;&lt;/div&gt;&lt;/div&gt;&lt;/div&gt;&lt;/a&gt;&lt;/div&gt;&lt;script&gt;var jsM25 = document.getElementById('M25').innerHTML;&lt;/script&gt;</v>
      </c>
      <c r="Y15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MEDPROS Medical Health Assestment (MHA) - https://rc.mods.army.mil/MHA/pdha/DHADeploymentCheck.aspx --&gt;
      &lt;summary&gt;• &lt;a href='https://rc.mods.army.mil/MHA/pdha/DHADeploymentCheck.aspx' rel='noopener noreferrer'&gt;MEDPROS Medical Health Assestment (MHA) - https://rc.mods.army.mil/MHA/pdha/DHADeploymentCheck.aspx&lt;/a&gt;&lt;/summary&gt;
      &lt;p&gt;MEDPROS Medical Health Assestment (MHA) alows you to complete periodic health assesments, pre-deployment, post-deployment, post-deployment reassesment and mental health assessment forms. &lt;/p&gt;
    &lt;/details&gt;</v>
      </c>
      <c r="Z155" s="1" t="str">
        <f t="shared" si="8"/>
        <v xml:space="preserve">          &lt;!-- MEDPROS Medical Health Assestment (MHA) - https://rc.mods.army.mil/MHA/pdha/DHADeploymentCheck.aspx --&gt;&lt;div id='dragM25' class='catAll catHealth'&gt;&lt;div class='column hideMarquee' draggable='true' ondragstart='drag(event)' value='M25' id='M25'&gt;&lt;div class='armyCardContainer ssCard'&gt;&lt;div class='ssArmyCard'&gt;&lt;div&gt;&lt;p class='marquee'&gt;MEDPROS Medical Health Assestment (MHA) alows you to complete periodic health assesments, pre-deployment, post-deployment, post-deployment reassesment and mental health assessment forms. &lt;/p&gt;&lt;img src='assets/Card-006.png' class='ssCardImage' draggable='false' loading='lazy'&gt;&lt;/div&gt;&lt;div class='ssTitle'&gt;&lt;span id='M25Title'&gt;MEDPROS Medical Health Assestment (MHA)&lt;/span&gt;&lt;/div&gt;&lt;/div&gt;&lt;/div&gt;&lt;/div&gt;&lt;/div&gt;&lt;script&gt;var jsM25 = document.getElementById('dragM25').innerHTML;&lt;/script&gt;</v>
      </c>
      <c r="AA155" s="1" t="str">
        <f>CONCATENATE("var js",Table1[[#This Row],[IDs]]," = document.getElementbyId('drag",Table1[[#This Row],[IDs]],"').innerHTML; //  ",Table1[[#This Row],[Site]])</f>
        <v>var jsM25 = document.getElementbyId('dragM25').innerHTML; //  MEDPROS Medical Health Assestment (MHA)</v>
      </c>
    </row>
    <row r="156" spans="1:27" ht="15" x14ac:dyDescent="0.25">
      <c r="A156" t="s">
        <v>249</v>
      </c>
      <c r="B156" t="s">
        <v>249</v>
      </c>
      <c r="C156" s="1" t="s">
        <v>250</v>
      </c>
      <c r="D156" t="s">
        <v>774</v>
      </c>
      <c r="E156" t="s">
        <v>773</v>
      </c>
      <c r="F156" s="1" t="s">
        <v>253</v>
      </c>
      <c r="G156" s="1" t="s">
        <v>900</v>
      </c>
      <c r="H156" s="1" t="s">
        <v>552</v>
      </c>
      <c r="N156" s="1" t="s">
        <v>18</v>
      </c>
      <c r="W156" s="3" t="str">
        <f>CONCATENATE("var js",Table1[[#This Row],[IDs]]," = document.getElementbyId('",Table1[[#This Row],[IDs]],"').innerHTML; //  ",Table1[[#This Row],[Site]])</f>
        <v>var jsM03 = document.getElementbyId('M03').innerHTML; //  MHS Genesis</v>
      </c>
      <c r="X156" s="1" t="str">
        <f t="shared" si="10"/>
        <v xml:space="preserve">        &lt;!--MHS Genesis - https://patientportal.mhsgenesis.health.mil/ --&gt;&lt;div class='column catAll catHealth' style='margin-bottom: 0px;' id='M03'&gt;&lt;a href='https://patientportal.mhsgenesis.health.mil/' rel='noopener noreferrer' class='column hideMarquee'&gt;&lt;div class='armyCardContainer card'&gt;&lt;div class='armyCard'&gt;&lt;div&gt;&lt;p class='marquee'&gt;MHS GENESIS is the new electronic health record for the Military Health System (MHS), provides enhanced, secure technology to manage your health information. MHS GENESIS integrates inpatient and outpatient solutions that will connect medical and dental information across the continuum of care, from point of injury to the military treatment facility. This includes garrison, operational, and en route care, increasing efficiencies for beneficiaries and health care professionals.&lt;/p&gt;&lt;img src='assets/CaCRequired.png' title='A CAC is required to use some or all features of this site!' Class='cacLocked'&gt;&lt;img src='assets/Card-117.png' class='cardImage' loading='lazy'&gt;&lt;/div&gt;&lt;div class='title'&gt;
          &lt;span&gt;MHS Genesis&lt;/span&gt;&lt;/div&gt;&lt;/div&gt;&lt;/div&gt;&lt;/a&gt;&lt;/div&gt;&lt;script&gt;var jsM03 = document.getElementById('M03').innerHTML;&lt;/script&gt;</v>
      </c>
      <c r="Y15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MHS Genesis - https://patientportal.mhsgenesis.health.mil/ --&gt;
      &lt;summary&gt;• &lt;a href='https://patientportal.mhsgenesis.health.mil/' rel='noopener noreferrer'&gt;MHS Genesis - https://patientportal.mhsgenesis.health.mil/&lt;/a&gt;&lt;/summary&gt;
      &lt;p&gt;MHS GENESIS is the new electronic health record for the Military Health System (MHS), provides enhanced, secure technology to manage your health information. MHS GENESIS integrates inpatient and outpatient solutions that will connect medical and dental information across the continuum of care, from point of injury to the military treatment facility. This includes garrison, operational, and en route care, increasing efficiencies for beneficiaries and health care professionals.&lt;/p&gt;
    &lt;/details&gt;</v>
      </c>
      <c r="Z156" s="1" t="str">
        <f t="shared" si="8"/>
        <v xml:space="preserve">          &lt;!-- MHS Genesis - https://patientportal.mhsgenesis.health.mil/ --&gt;&lt;div id='dragM03' class='catAll catHealth'&gt;&lt;div class='column hideMarquee' draggable='true' ondragstart='drag(event)' value='M03' id='M03'&gt;&lt;div class='armyCardContainer ssCard'&gt;&lt;div class='ssArmyCard'&gt;&lt;div&gt;&lt;p class='marquee'&gt;MHS GENESIS is the new electronic health record for the Military Health System (MHS), provides enhanced, secure technology to manage your health information. MHS GENESIS integrates inpatient and outpatient solutions that will connect medical and dental information across the continuum of care, from point of injury to the military treatment facility. This includes garrison, operational, and en route care, increasing efficiencies for beneficiaries and health care professionals.&lt;/p&gt;&lt;img src='assets/Card-117.png' class='ssCardImage' draggable='false' loading='lazy'&gt;&lt;/div&gt;&lt;div class='ssTitle'&gt;&lt;span id='M03Title'&gt;MHS Genesis&lt;/span&gt;&lt;/div&gt;&lt;/div&gt;&lt;/div&gt;&lt;/div&gt;&lt;/div&gt;&lt;script&gt;var jsM03 = document.getElementById('dragM03').innerHTML;&lt;/script&gt;</v>
      </c>
      <c r="AA156" s="1" t="str">
        <f>CONCATENATE("var js",Table1[[#This Row],[IDs]]," = document.getElementbyId('drag",Table1[[#This Row],[IDs]],"').innerHTML; //  ",Table1[[#This Row],[Site]])</f>
        <v>var jsM03 = document.getElementbyId('dragM03').innerHTML; //  MHS Genesis</v>
      </c>
    </row>
    <row r="157" spans="1:27" ht="15" x14ac:dyDescent="0.25">
      <c r="A157" t="s">
        <v>251</v>
      </c>
      <c r="B157" t="s">
        <v>251</v>
      </c>
      <c r="C157" s="12" t="s">
        <v>252</v>
      </c>
      <c r="D157" t="s">
        <v>677</v>
      </c>
      <c r="E157" t="s">
        <v>775</v>
      </c>
      <c r="F157" s="1" t="s">
        <v>256</v>
      </c>
      <c r="G157" s="1" t="s">
        <v>900</v>
      </c>
      <c r="H157" s="1" t="s">
        <v>552</v>
      </c>
      <c r="I157" s="1" t="s">
        <v>18</v>
      </c>
      <c r="W157" s="3" t="str">
        <f>CONCATENATE("var js",Table1[[#This Row],[IDs]]," = document.getElementbyId('",Table1[[#This Row],[IDs]],"').innerHTML; //  ",Table1[[#This Row],[Site]])</f>
        <v>var jsM04 = document.getElementbyId('M04').innerHTML; //  milConnect</v>
      </c>
      <c r="X157" s="1" t="str">
        <f t="shared" si="10"/>
        <v xml:space="preserve">        &lt;!--milConnect - https://milconnect.dmdc.osd.mil/milconnect/ --&gt;&lt;div class='column catAll catArmySites' style='margin-bottom: 0px;' id='M04'&gt;&lt;a href='https://milconnect.dmdc.osd.mil/milconnect/' rel='noopener noreferrer' class='column hideMarquee'&gt;&lt;div class='armyCardContainer card'&gt;&lt;div class='armyCard'&gt;&lt;div&gt;&lt;p class='marquee'&gt;MilConnect provides a convenient self-service portal that allows DOD affiliates and beneficiaries to manage their benefits and records, offering secure access to personal and personnel records held in the Defense Enrollment Eligibility Reporting System.&lt;/p&gt;&lt;img src='assets/CaCRequired.png' title='A CAC is required to use some or all features of this site!' Class='cacLocked'&gt;&lt;img src='assets/Card-034.png' class='cardImage' loading='lazy'&gt;&lt;/div&gt;&lt;div class='title'&gt;
          &lt;span&gt;milConnect&lt;/span&gt;&lt;/div&gt;&lt;/div&gt;&lt;/div&gt;&lt;/a&gt;&lt;/div&gt;&lt;script&gt;var jsM04 = document.getElementById('M04').innerHTML;&lt;/script&gt;</v>
      </c>
      <c r="Y15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milConnect - https://milconnect.dmdc.osd.mil/milconnect/ --&gt;
      &lt;summary&gt;• &lt;a href='https://milconnect.dmdc.osd.mil/milconnect/' rel='noopener noreferrer'&gt;milConnect - https://milconnect.dmdc.osd.mil/milconnect/&lt;/a&gt;&lt;/summary&gt;
      &lt;p&gt;MilConnect provides a convenient self-service portal that allows DOD affiliates and beneficiaries to manage their benefits and records, offering secure access to personal and personnel records held in the Defense Enrollment Eligibility Reporting System.&lt;/p&gt;
    &lt;/details&gt;</v>
      </c>
      <c r="Z157" s="1" t="str">
        <f t="shared" si="8"/>
        <v xml:space="preserve">          &lt;!-- milConnect - https://milconnect.dmdc.osd.mil/milconnect/ --&gt;&lt;div id='dragM04' class='catAll catArmySites'&gt;&lt;div class='column hideMarquee' draggable='true' ondragstart='drag(event)' value='M04' id='M04'&gt;&lt;div class='armyCardContainer ssCard'&gt;&lt;div class='ssArmyCard'&gt;&lt;div&gt;&lt;p class='marquee'&gt;MilConnect provides a convenient self-service portal that allows DOD affiliates and beneficiaries to manage their benefits and records, offering secure access to personal and personnel records held in the Defense Enrollment Eligibility Reporting System.&lt;/p&gt;&lt;img src='assets/Card-034.png' class='ssCardImage' draggable='false' loading='lazy'&gt;&lt;/div&gt;&lt;div class='ssTitle'&gt;&lt;span id='M04Title'&gt;milConnect&lt;/span&gt;&lt;/div&gt;&lt;/div&gt;&lt;/div&gt;&lt;/div&gt;&lt;/div&gt;&lt;script&gt;var jsM04 = document.getElementById('dragM04').innerHTML;&lt;/script&gt;</v>
      </c>
      <c r="AA157" s="1" t="str">
        <f>CONCATENATE("var js",Table1[[#This Row],[IDs]]," = document.getElementbyId('drag",Table1[[#This Row],[IDs]],"').innerHTML; //  ",Table1[[#This Row],[Site]])</f>
        <v>var jsM04 = document.getElementbyId('dragM04').innerHTML; //  milConnect</v>
      </c>
    </row>
    <row r="158" spans="1:27" ht="15" x14ac:dyDescent="0.25">
      <c r="A158" t="s">
        <v>254</v>
      </c>
      <c r="B158" t="s">
        <v>254</v>
      </c>
      <c r="C158" s="12" t="s">
        <v>255</v>
      </c>
      <c r="D158" t="s">
        <v>777</v>
      </c>
      <c r="E158" t="s">
        <v>776</v>
      </c>
      <c r="F158" s="1" t="s">
        <v>261</v>
      </c>
      <c r="G158" s="1" t="s">
        <v>900</v>
      </c>
      <c r="H158" s="1" t="s">
        <v>552</v>
      </c>
      <c r="S158" s="1" t="s">
        <v>18</v>
      </c>
      <c r="W158" s="3" t="str">
        <f>CONCATENATE("var js",Table1[[#This Row],[IDs]]," = document.getElementbyId('",Table1[[#This Row],[IDs]],"').innerHTML; //  ",Table1[[#This Row],[Site]])</f>
        <v>var jsM05 = document.getElementbyId('M05').innerHTML; //  MILGAMING</v>
      </c>
      <c r="X158" s="1" t="str">
        <f t="shared" si="10"/>
        <v xml:space="preserve">        &lt;!--MILGAMING - https://milgaming.army.mil/ --&gt;&lt;div class='column catAll catMilEd' style='margin-bottom: 0px;' id='M05'&gt;&lt;a href='https://milgaming.army.mil/' rel='noopener noreferrer' class='column hideMarquee'&gt;&lt;div class='armyCardContainer card'&gt;&lt;div class='armyCard'&gt;&lt;div&gt;&lt;p class='marquee'&gt;MilGaming provides news, training events, online instruction, technical support, expert forums and training scenarios. It offers links to products such as Virtual Battlespace 2, known as VBS2, VBS2 Fires and Moral Combat.&lt;/p&gt;&lt;img src='assets/CaCRequired.png' title='A CAC is required to use some or all features of this site!' Class='cacLocked'&gt;&lt;img src='assets/Card-028.png' class='cardImage' loading='lazy'&gt;&lt;/div&gt;&lt;div class='title'&gt;
          &lt;span&gt;MILGAMING&lt;/span&gt;&lt;/div&gt;&lt;/div&gt;&lt;/div&gt;&lt;/a&gt;&lt;/div&gt;&lt;script&gt;var jsM05 = document.getElementById('M05').innerHTML;&lt;/script&gt;</v>
      </c>
      <c r="Y15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MILGAMING - https://milgaming.army.mil/ --&gt;
      &lt;summary&gt;• &lt;a href='https://milgaming.army.mil/' rel='noopener noreferrer'&gt;MILGAMING - https://milgaming.army.mil/&lt;/a&gt;&lt;/summary&gt;
      &lt;p&gt;MilGaming provides news, training events, online instruction, technical support, expert forums and training scenarios. It offers links to products such as Virtual Battlespace 2, known as VBS2, VBS2 Fires and Moral Combat.&lt;/p&gt;
    &lt;/details&gt;</v>
      </c>
      <c r="Z158" s="1" t="str">
        <f t="shared" si="8"/>
        <v xml:space="preserve">          &lt;!-- MILGAMING - https://milgaming.army.mil/ --&gt;&lt;div id='dragM05' class='catAll catMilEd'&gt;&lt;div class='column hideMarquee' draggable='true' ondragstart='drag(event)' value='M05' id='M05'&gt;&lt;div class='armyCardContainer ssCard'&gt;&lt;div class='ssArmyCard'&gt;&lt;div&gt;&lt;p class='marquee'&gt;MilGaming provides news, training events, online instruction, technical support, expert forums and training scenarios. It offers links to products such as Virtual Battlespace 2, known as VBS2, VBS2 Fires and Moral Combat.&lt;/p&gt;&lt;img src='assets/Card-028.png' class='ssCardImage' draggable='false' loading='lazy'&gt;&lt;/div&gt;&lt;div class='ssTitle'&gt;&lt;span id='M05Title'&gt;MILGAMING&lt;/span&gt;&lt;/div&gt;&lt;/div&gt;&lt;/div&gt;&lt;/div&gt;&lt;/div&gt;&lt;script&gt;var jsM05 = document.getElementById('dragM05').innerHTML;&lt;/script&gt;</v>
      </c>
      <c r="AA158" s="1" t="str">
        <f>CONCATENATE("var js",Table1[[#This Row],[IDs]]," = document.getElementbyId('drag",Table1[[#This Row],[IDs]],"').innerHTML; //  ",Table1[[#This Row],[Site]])</f>
        <v>var jsM05 = document.getElementbyId('dragM05').innerHTML; //  MILGAMING</v>
      </c>
    </row>
    <row r="159" spans="1:27" ht="15" x14ac:dyDescent="0.25">
      <c r="A159" t="s">
        <v>382</v>
      </c>
      <c r="B159" t="s">
        <v>382</v>
      </c>
      <c r="C159" s="7" t="s">
        <v>383</v>
      </c>
      <c r="D159" t="s">
        <v>782</v>
      </c>
      <c r="E159" t="s">
        <v>781</v>
      </c>
      <c r="F159" s="1" t="s">
        <v>258</v>
      </c>
      <c r="G159" s="1" t="s">
        <v>900</v>
      </c>
      <c r="H159" s="1" t="s">
        <v>900</v>
      </c>
      <c r="R159" s="1" t="s">
        <v>18</v>
      </c>
      <c r="W159" s="3" t="str">
        <f>CONCATENATE("var js",Table1[[#This Row],[IDs]]," = document.getElementbyId('",Table1[[#This Row],[IDs]],"').innerHTML; //  ",Table1[[#This Row],[Site]])</f>
        <v>var jsM06 = document.getElementbyId('M06').innerHTML; //  Military Auxiliary Radio System</v>
      </c>
      <c r="X159" s="1" t="str">
        <f t="shared" si="10"/>
        <v xml:space="preserve">        &lt;!--Military Auxiliary Radio System - https://netcom.army.mil/MARS/default.aspx --&gt;&lt;div class='column catAll catTech' style='margin-bottom: 0px;' id='M06'&gt;&lt;a href='https://netcom.army.mil/MARS/default.aspx' rel='noopener noreferrer' class='column hideMarquee'&gt;&lt;div class='armyCardContainer card'&gt;&lt;div class='armyCard'&gt;&lt;div&gt;&lt;p class='marquee'&gt;Army Military Auxiliary Radio System is a Department of Defense sponsored program which utilizes Amateur Radio operators to contribute to the mission of the Department of the Army. Army MARS members must have access to HF radio equipment, file a monthly report, and participate a minimum of 12 hours total, including a minimum 6 hours on HF radio each quarter.&lt;/p&gt;&lt;img src='assets/Card-127.png' class='cardImage' loading='lazy'&gt;&lt;/div&gt;&lt;div class='title'&gt;
          &lt;span&gt;Military Auxiliary Radio System&lt;/span&gt;&lt;/div&gt;&lt;/div&gt;&lt;/div&gt;&lt;/a&gt;&lt;/div&gt;&lt;script&gt;var jsM06 = document.getElementById('M06').innerHTML;&lt;/script&gt;</v>
      </c>
      <c r="Y15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Military Auxiliary Radio System - https://netcom.army.mil/MARS/default.aspx --&gt;
      &lt;summary&gt;• &lt;a href='https://netcom.army.mil/MARS/default.aspx' rel='noopener noreferrer'&gt;Military Auxiliary Radio System - https://netcom.army.mil/MARS/default.aspx&lt;/a&gt;&lt;/summary&gt;
      &lt;p&gt;Army Military Auxiliary Radio System is a Department of Defense sponsored program which utilizes Amateur Radio operators to contribute to the mission of the Department of the Army. Army MARS members must have access to HF radio equipment, file a monthly report, and participate a minimum of 12 hours total, including a minimum 6 hours on HF radio each quarter.&lt;/p&gt;
    &lt;/details&gt;</v>
      </c>
      <c r="Z159" s="1" t="str">
        <f t="shared" si="8"/>
        <v xml:space="preserve">          &lt;!-- Military Auxiliary Radio System - https://netcom.army.mil/MARS/default.aspx --&gt;&lt;div id='dragM06' class='catAll catTech'&gt;&lt;div class='column hideMarquee' draggable='true' ondragstart='drag(event)' value='M06' id='M06'&gt;&lt;div class='armyCardContainer ssCard'&gt;&lt;div class='ssArmyCard'&gt;&lt;div&gt;&lt;p class='marquee'&gt;Army Military Auxiliary Radio System is a Department of Defense sponsored program which utilizes Amateur Radio operators to contribute to the mission of the Department of the Army. Army MARS members must have access to HF radio equipment, file a monthly report, and participate a minimum of 12 hours total, including a minimum 6 hours on HF radio each quarter.&lt;/p&gt;&lt;img src='assets/Card-127.png' class='ssCardImage' draggable='false' loading='lazy'&gt;&lt;/div&gt;&lt;div class='ssTitle'&gt;&lt;span id='M06Title'&gt;Military Auxiliary Radio System&lt;/span&gt;&lt;/div&gt;&lt;/div&gt;&lt;/div&gt;&lt;/div&gt;&lt;/div&gt;&lt;script&gt;var jsM06 = document.getElementById('dragM06').innerHTML;&lt;/script&gt;</v>
      </c>
      <c r="AA159" s="1" t="str">
        <f>CONCATENATE("var js",Table1[[#This Row],[IDs]]," = document.getElementbyId('drag",Table1[[#This Row],[IDs]],"').innerHTML; //  ",Table1[[#This Row],[Site]])</f>
        <v>var jsM06 = document.getElementbyId('dragM06').innerHTML; //  Military Auxiliary Radio System</v>
      </c>
    </row>
    <row r="160" spans="1:27" ht="15" x14ac:dyDescent="0.25">
      <c r="A160" t="s">
        <v>434</v>
      </c>
      <c r="B160" t="s">
        <v>434</v>
      </c>
      <c r="C160" s="12" t="s">
        <v>447</v>
      </c>
      <c r="D160" t="s">
        <v>787</v>
      </c>
      <c r="E160" t="s">
        <v>786</v>
      </c>
      <c r="F160" s="1" t="s">
        <v>435</v>
      </c>
      <c r="G160" s="1" t="s">
        <v>900</v>
      </c>
      <c r="H160" s="1" t="s">
        <v>900</v>
      </c>
      <c r="K160" s="1" t="s">
        <v>18</v>
      </c>
      <c r="L160" s="1" t="s">
        <v>18</v>
      </c>
      <c r="W160" s="3" t="str">
        <f>CONCATENATE("var js",Table1[[#This Row],[IDs]]," = document.getElementbyId('",Table1[[#This Row],[IDs]],"').innerHTML; //  ",Table1[[#This Row],[Site]])</f>
        <v>var jsM23 = document.getElementbyId('M23').innerHTML; //  Military Child Care</v>
      </c>
      <c r="X160" s="1" t="str">
        <f t="shared" si="10"/>
        <v xml:space="preserve">        &lt;!--Military Child Care - https://public.militarychildcare.csd.disa.mil/mccu/ui/ --&gt;&lt;div class='column catAll catDod catFamily' style='margin-bottom: 0px;' id='M23'&gt;&lt;a href='https://public.militarychildcare.csd.disa.mil/mccu/ui/' rel='noopener noreferrer' class='column hideMarquee'&gt;&lt;div class='armyCardContainer card'&gt;&lt;div class='armyCard'&gt;&lt;div&gt;&lt;p class='marquee'&gt;MilitaryChildCare.com provides a gateway to comprehensive information on military-operated or military-approved child care programs worldwide.&lt;/p&gt;&lt;img src='assets/Card-141.png' class='cardImage' loading='lazy'&gt;&lt;/div&gt;&lt;div class='title'&gt;
          &lt;span&gt;Military Child Care&lt;/span&gt;&lt;/div&gt;&lt;/div&gt;&lt;/div&gt;&lt;/a&gt;&lt;/div&gt;&lt;script&gt;var jsM23 = document.getElementById('M23').innerHTML;&lt;/script&gt;</v>
      </c>
      <c r="Y16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Military Child Care - https://public.militarychildcare.csd.disa.mil/mccu/ui/ --&gt;
      &lt;summary&gt;• &lt;a href='https://public.militarychildcare.csd.disa.mil/mccu/ui/' rel='noopener noreferrer'&gt;Military Child Care - https://public.militarychildcare.csd.disa.mil/mccu/ui/&lt;/a&gt;&lt;/summary&gt;
      &lt;p&gt;MilitaryChildCare.com provides a gateway to comprehensive information on military-operated or military-approved child care programs worldwide.&lt;/p&gt;
    &lt;/details&gt;</v>
      </c>
      <c r="Z160" s="1" t="str">
        <f t="shared" si="8"/>
        <v xml:space="preserve">          &lt;!-- Military Child Care - https://public.militarychildcare.csd.disa.mil/mccu/ui/ --&gt;&lt;div id='dragM23' class='catAll catDod catFamily'&gt;&lt;div class='column hideMarquee' draggable='true' ondragstart='drag(event)' value='M23' id='M23'&gt;&lt;div class='armyCardContainer ssCard'&gt;&lt;div class='ssArmyCard'&gt;&lt;div&gt;&lt;p class='marquee'&gt;MilitaryChildCare.com provides a gateway to comprehensive information on military-operated or military-approved child care programs worldwide.&lt;/p&gt;&lt;img src='assets/Card-141.png' class='ssCardImage' draggable='false' loading='lazy'&gt;&lt;/div&gt;&lt;div class='ssTitle'&gt;&lt;span id='M23Title'&gt;Military Child Care&lt;/span&gt;&lt;/div&gt;&lt;/div&gt;&lt;/div&gt;&lt;/div&gt;&lt;/div&gt;&lt;script&gt;var jsM23 = document.getElementById('dragM23').innerHTML;&lt;/script&gt;</v>
      </c>
      <c r="AA160" s="1" t="str">
        <f>CONCATENATE("var js",Table1[[#This Row],[IDs]]," = document.getElementbyId('drag",Table1[[#This Row],[IDs]],"').innerHTML; //  ",Table1[[#This Row],[Site]])</f>
        <v>var jsM23 = document.getElementbyId('dragM23').innerHTML; //  Military Child Care</v>
      </c>
    </row>
    <row r="161" spans="1:27" ht="15" x14ac:dyDescent="0.25">
      <c r="A161" t="s">
        <v>257</v>
      </c>
      <c r="B161" t="s">
        <v>257</v>
      </c>
      <c r="C161" s="8" t="s">
        <v>524</v>
      </c>
      <c r="D161" t="s">
        <v>784</v>
      </c>
      <c r="E161" t="s">
        <v>783</v>
      </c>
      <c r="F161" s="1" t="s">
        <v>264</v>
      </c>
      <c r="G161" s="1" t="s">
        <v>900</v>
      </c>
      <c r="H161" s="1" t="s">
        <v>552</v>
      </c>
      <c r="K161" s="1" t="s">
        <v>18</v>
      </c>
      <c r="L161" s="1" t="s">
        <v>18</v>
      </c>
      <c r="M161" s="1" t="s">
        <v>18</v>
      </c>
      <c r="N161" s="1" t="s">
        <v>18</v>
      </c>
      <c r="W161" s="3" t="str">
        <f>CONCATENATE("var js",Table1[[#This Row],[IDs]]," = document.getElementbyId('",Table1[[#This Row],[IDs]],"').innerHTML; //  ",Table1[[#This Row],[Site]])</f>
        <v>var jsM07 = document.getElementbyId('M07').innerHTML; //  Military OneSource</v>
      </c>
      <c r="X161" s="1" t="str">
        <f t="shared" si="10"/>
        <v xml:space="preserve">        &lt;!--Military OneSource - https://www.militaryonesource.mil/ --&gt;&lt;div class='column catAll catDod catFamily catFinance catHealth' style='margin-bottom: 0px;' id='M07'&gt;&lt;a href='https://www.militaryonesource.mil/' rel='noopener noreferrer' class='column hideMarquee'&gt;&lt;div class='armyCardContainer card'&gt;&lt;div class='armyCard'&gt;&lt;div&gt;&lt;p class='marquee'&gt;Military OneSource is your 24/7 connection to information, answers and support to help you reach your goals, overcome challenges and thrive. As a member of our military family, you are eligible to use this Department of Defense-funded program anytime, anywhere. Military OneSource offers assistance with tax services, spouse employment help, webinars and online training, relocation and deployment tools, and much more.&lt;/p&gt;&lt;img src='assets/CaCRequired.png' title='A CAC is required to use some or all features of this site!' Class='cacLocked'&gt;&lt;img src='assets/Card-063.png' class='cardImage' loading='lazy'&gt;&lt;/div&gt;&lt;div class='title'&gt;
          &lt;span&gt;Military OneSource&lt;/span&gt;&lt;/div&gt;&lt;/div&gt;&lt;/div&gt;&lt;/a&gt;&lt;/div&gt;&lt;script&gt;var jsM07 = document.getElementById('M07').innerHTML;&lt;/script&gt;</v>
      </c>
      <c r="Y16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Military OneSource - https://www.militaryonesource.mil/ --&gt;
      &lt;summary&gt;• &lt;a href='https://www.militaryonesource.mil/' rel='noopener noreferrer'&gt;Military OneSource - https://www.militaryonesource.mil/&lt;/a&gt;&lt;/summary&gt;
      &lt;p&gt;Military OneSource is your 24/7 connection to information, answers and support to help you reach your goals, overcome challenges and thrive. As a member of our military family, you are eligible to use this Department of Defense-funded program anytime, anywhere. Military OneSource offers assistance with tax services, spouse employment help, webinars and online training, relocation and deployment tools, and much more.&lt;/p&gt;
    &lt;/details&gt;</v>
      </c>
      <c r="Z161" s="1" t="str">
        <f t="shared" si="8"/>
        <v xml:space="preserve">          &lt;!-- Military OneSource - https://www.militaryonesource.mil/ --&gt;&lt;div id='dragM07' class='catAll catDod catFamily catFinance catHealth'&gt;&lt;div class='column hideMarquee' draggable='true' ondragstart='drag(event)' value='M07' id='M07'&gt;&lt;div class='armyCardContainer ssCard'&gt;&lt;div class='ssArmyCard'&gt;&lt;div&gt;&lt;p class='marquee'&gt;Military OneSource is your 24/7 connection to information, answers and support to help you reach your goals, overcome challenges and thrive. As a member of our military family, you are eligible to use this Department of Defense-funded program anytime, anywhere. Military OneSource offers assistance with tax services, spouse employment help, webinars and online training, relocation and deployment tools, and much more.&lt;/p&gt;&lt;img src='assets/Card-063.png' class='ssCardImage' draggable='false' loading='lazy'&gt;&lt;/div&gt;&lt;div class='ssTitle'&gt;&lt;span id='M07Title'&gt;Military OneSource&lt;/span&gt;&lt;/div&gt;&lt;/div&gt;&lt;/div&gt;&lt;/div&gt;&lt;/div&gt;&lt;script&gt;var jsM07 = document.getElementById('dragM07').innerHTML;&lt;/script&gt;</v>
      </c>
      <c r="AA161" s="1" t="str">
        <f>CONCATENATE("var js",Table1[[#This Row],[IDs]]," = document.getElementbyId('drag",Table1[[#This Row],[IDs]],"').innerHTML; //  ",Table1[[#This Row],[Site]])</f>
        <v>var jsM07 = document.getElementbyId('dragM07').innerHTML; //  Military OneSource</v>
      </c>
    </row>
    <row r="162" spans="1:27" ht="15" x14ac:dyDescent="0.25">
      <c r="A162" t="s">
        <v>259</v>
      </c>
      <c r="B162" t="s">
        <v>259</v>
      </c>
      <c r="C162" s="1" t="s">
        <v>260</v>
      </c>
      <c r="D162" t="s">
        <v>788</v>
      </c>
      <c r="E162" t="s">
        <v>785</v>
      </c>
      <c r="F162" s="1" t="s">
        <v>267</v>
      </c>
      <c r="G162" s="1" t="s">
        <v>900</v>
      </c>
      <c r="H162" s="1" t="s">
        <v>900</v>
      </c>
      <c r="R162" s="1" t="s">
        <v>18</v>
      </c>
      <c r="W162" s="3" t="str">
        <f>CONCATENATE("var js",Table1[[#This Row],[IDs]]," = document.getElementbyId('",Table1[[#This Row],[IDs]],"').innerHTML; //  ",Table1[[#This Row],[Site]])</f>
        <v>var jsM08 = document.getElementbyId('M08').innerHTML; //  MilitaryCAC</v>
      </c>
      <c r="X162" s="1" t="str">
        <f t="shared" si="10"/>
        <v xml:space="preserve">        &lt;!--MilitaryCAC - https://militarycac.com/ --&gt;&lt;div class='column catAll catTech' style='margin-bottom: 0px;' id='M08'&gt;&lt;a href='https://militarycac.com/' rel='noopener noreferrer' class='column hideMarquee'&gt;&lt;div class='armyCardContainer card'&gt;&lt;div class='armyCard'&gt;&lt;div&gt;&lt;p class='marquee'&gt;MilitaryCAC provides CAC installation assistance; Find information regarding the Department of Defense Common Access Card (CAC).&lt;/p&gt;&lt;img src='assets/Card-101.png' class='cardImage' loading='lazy'&gt;&lt;/div&gt;&lt;div class='title'&gt;
          &lt;span&gt;MilitaryCAC&lt;/span&gt;&lt;/div&gt;&lt;/div&gt;&lt;/div&gt;&lt;/a&gt;&lt;/div&gt;&lt;script&gt;var jsM08 = document.getElementById('M08').innerHTML;&lt;/script&gt;</v>
      </c>
      <c r="Y16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MilitaryCAC - https://militarycac.com/ --&gt;
      &lt;summary&gt;• &lt;a href='https://militarycac.com/' rel='noopener noreferrer'&gt;MilitaryCAC - https://militarycac.com/&lt;/a&gt;&lt;/summary&gt;
      &lt;p&gt;MilitaryCAC provides CAC installation assistance; Find information regarding the Department of Defense Common Access Card (CAC).&lt;/p&gt;
    &lt;/details&gt;</v>
      </c>
      <c r="Z162" s="1" t="str">
        <f t="shared" si="8"/>
        <v xml:space="preserve">          &lt;!-- MilitaryCAC - https://militarycac.com/ --&gt;&lt;div id='dragM08' class='catAll catTech'&gt;&lt;div class='column hideMarquee' draggable='true' ondragstart='drag(event)' value='M08' id='M08'&gt;&lt;div class='armyCardContainer ssCard'&gt;&lt;div class='ssArmyCard'&gt;&lt;div&gt;&lt;p class='marquee'&gt;MilitaryCAC provides CAC installation assistance; Find information regarding the Department of Defense Common Access Card (CAC).&lt;/p&gt;&lt;img src='assets/Card-101.png' class='ssCardImage' draggable='false' loading='lazy'&gt;&lt;/div&gt;&lt;div class='ssTitle'&gt;&lt;span id='M08Title'&gt;MilitaryCAC&lt;/span&gt;&lt;/div&gt;&lt;/div&gt;&lt;/div&gt;&lt;/div&gt;&lt;/div&gt;&lt;script&gt;var jsM08 = document.getElementById('dragM08').innerHTML;&lt;/script&gt;</v>
      </c>
      <c r="AA162" s="1" t="str">
        <f>CONCATENATE("var js",Table1[[#This Row],[IDs]]," = document.getElementbyId('drag",Table1[[#This Row],[IDs]],"').innerHTML; //  ",Table1[[#This Row],[Site]])</f>
        <v>var jsM08 = document.getElementbyId('dragM08').innerHTML; //  MilitaryCAC</v>
      </c>
    </row>
    <row r="163" spans="1:27" ht="15" x14ac:dyDescent="0.25">
      <c r="A163" t="s">
        <v>262</v>
      </c>
      <c r="B163" t="s">
        <v>262</v>
      </c>
      <c r="C163" s="1" t="s">
        <v>263</v>
      </c>
      <c r="D163" t="s">
        <v>790</v>
      </c>
      <c r="E163" t="s">
        <v>789</v>
      </c>
      <c r="F163" s="1" t="s">
        <v>270</v>
      </c>
      <c r="G163" s="1" t="s">
        <v>900</v>
      </c>
      <c r="H163" s="1" t="s">
        <v>552</v>
      </c>
      <c r="K163" s="1" t="s">
        <v>18</v>
      </c>
      <c r="W163" s="3" t="str">
        <f>CONCATENATE("var js",Table1[[#This Row],[IDs]]," = document.getElementbyId('",Table1[[#This Row],[IDs]],"').innerHTML; //  ",Table1[[#This Row],[Site]])</f>
        <v>var jsM09 = document.getElementbyId('M09').innerHTML; //  MilSuite</v>
      </c>
      <c r="X163" s="1" t="str">
        <f t="shared" si="10"/>
        <v xml:space="preserve">        &lt;!--MilSuite - https://www.milsuite.mil/ --&gt;&lt;div class='column catAll catDod' style='margin-bottom: 0px;' id='M09'&gt;&lt;a href='https://www.milsuite.mil/' rel='noopener noreferrer' class='column hideMarquee'&gt;&lt;div class='armyCardContainer card'&gt;&lt;div class='armyCard'&gt;&lt;div&gt;&lt;p class='marquee'&gt;MilSuite provides a collection of social business tools for DOD personnel that facilitates professional networking, learning, and innovation through knowledge sharing and collaboration.&lt;/p&gt;&lt;img src='assets/CaCRequired.png' title='A CAC is required to use some or all features of this site!' Class='cacLocked'&gt;&lt;img src='assets/Card-076.png' class='cardImage' loading='lazy'&gt;&lt;/div&gt;&lt;div class='title'&gt;
          &lt;span&gt;MilSuite&lt;/span&gt;&lt;/div&gt;&lt;/div&gt;&lt;/div&gt;&lt;/a&gt;&lt;/div&gt;&lt;script&gt;var jsM09 = document.getElementById('M09').innerHTML;&lt;/script&gt;</v>
      </c>
      <c r="Y16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MilSuite - https://www.milsuite.mil/ --&gt;
      &lt;summary&gt;• &lt;a href='https://www.milsuite.mil/' rel='noopener noreferrer'&gt;MilSuite - https://www.milsuite.mil/&lt;/a&gt;&lt;/summary&gt;
      &lt;p&gt;MilSuite provides a collection of social business tools for DOD personnel that facilitates professional networking, learning, and innovation through knowledge sharing and collaboration.&lt;/p&gt;
    &lt;/details&gt;</v>
      </c>
      <c r="Z163" s="1" t="str">
        <f t="shared" si="8"/>
        <v xml:space="preserve">          &lt;!-- MilSuite - https://www.milsuite.mil/ --&gt;&lt;div id='dragM09' class='catAll catDod'&gt;&lt;div class='column hideMarquee' draggable='true' ondragstart='drag(event)' value='M09' id='M09'&gt;&lt;div class='armyCardContainer ssCard'&gt;&lt;div class='ssArmyCard'&gt;&lt;div&gt;&lt;p class='marquee'&gt;MilSuite provides a collection of social business tools for DOD personnel that facilitates professional networking, learning, and innovation through knowledge sharing and collaboration.&lt;/p&gt;&lt;img src='assets/Card-076.png' class='ssCardImage' draggable='false' loading='lazy'&gt;&lt;/div&gt;&lt;div class='ssTitle'&gt;&lt;span id='M09Title'&gt;MilSuite&lt;/span&gt;&lt;/div&gt;&lt;/div&gt;&lt;/div&gt;&lt;/div&gt;&lt;/div&gt;&lt;script&gt;var jsM09 = document.getElementById('dragM09').innerHTML;&lt;/script&gt;</v>
      </c>
      <c r="AA163" s="1" t="str">
        <f>CONCATENATE("var js",Table1[[#This Row],[IDs]]," = document.getElementbyId('drag",Table1[[#This Row],[IDs]],"').innerHTML; //  ",Table1[[#This Row],[Site]])</f>
        <v>var jsM09 = document.getElementbyId('dragM09').innerHTML; //  MilSuite</v>
      </c>
    </row>
    <row r="164" spans="1:27" ht="15" x14ac:dyDescent="0.25">
      <c r="A164" t="s">
        <v>778</v>
      </c>
      <c r="B164" t="s">
        <v>778</v>
      </c>
      <c r="C164" s="1" t="s">
        <v>780</v>
      </c>
      <c r="D164" t="s">
        <v>790</v>
      </c>
      <c r="E164" t="s">
        <v>779</v>
      </c>
      <c r="F164" s="1" t="s">
        <v>1018</v>
      </c>
      <c r="G164" s="1" t="s">
        <v>900</v>
      </c>
      <c r="H164" s="1" t="s">
        <v>552</v>
      </c>
      <c r="R164" s="1" t="s">
        <v>18</v>
      </c>
      <c r="W164" s="3" t="str">
        <f>CONCATENATE("var js",Table1[[#This Row],[IDs]]," = document.getElementbyId('",Table1[[#This Row],[IDs]],"').innerHTML; //  ",Table1[[#This Row],[Site]])</f>
        <v>var jsM26 = document.getElementbyId('M26').innerHTML; //  milWIKI</v>
      </c>
      <c r="X164" s="1" t="str">
        <f t="shared" si="10"/>
        <v xml:space="preserve">        &lt;!--milWIKI - https://www.milsuite.mil/wiki/Main_Page --&gt;&lt;div class='column catAll catTech' style='margin-bottom: 0px;' id='M26'&gt;&lt;a href='https://www.milsuite.mil/wiki/Main_Page' rel='noopener noreferrer' class='column hideMarquee'&gt;&lt;div class='armyCardContainer card'&gt;&lt;div class='armyCard'&gt;&lt;div&gt;&lt;p class='marquee'&gt;milWiki is a knowledge management tool that any member of the milSuite community may access and edit. Subject matter experts are encouraged to contribute their experience and update information as it happens to build an encyclopedia of Department of Defense articles with the highest possible sensitivity of information being CONTROLLED UNCLASSIFIED INFORMATION.&lt;/p&gt;&lt;img src='assets/CaCRequired.png' title='A CAC is required to use some or all features of this site!' Class='cacLocked'&gt;&lt;img src='assets/Card-076.png' class='cardImage' loading='lazy'&gt;&lt;/div&gt;&lt;div class='title'&gt;
          &lt;span&gt;milWIKI&lt;/span&gt;&lt;/div&gt;&lt;/div&gt;&lt;/div&gt;&lt;/a&gt;&lt;/div&gt;&lt;script&gt;var jsM26 = document.getElementById('M26').innerHTML;&lt;/script&gt;</v>
      </c>
      <c r="Y16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milWIKI - https://www.milsuite.mil/wiki/Main_Page --&gt;
      &lt;summary&gt;• &lt;a href='https://www.milsuite.mil/wiki/Main_Page' rel='noopener noreferrer'&gt;milWIKI - https://www.milsuite.mil/wiki/Main_Page&lt;/a&gt;&lt;/summary&gt;
      &lt;p&gt;milWiki is a knowledge management tool that any member of the milSuite community may access and edit. Subject matter experts are encouraged to contribute their experience and update information as it happens to build an encyclopedia of Department of Defense articles with the highest possible sensitivity of information being CONTROLLED UNCLASSIFIED INFORMATION.&lt;/p&gt;
    &lt;/details&gt;</v>
      </c>
      <c r="Z164" s="1" t="str">
        <f t="shared" si="8"/>
        <v xml:space="preserve">          &lt;!-- milWIKI - https://www.milsuite.mil/wiki/Main_Page --&gt;&lt;div id='dragM26' class='catAll catTech'&gt;&lt;div class='column hideMarquee' draggable='true' ondragstart='drag(event)' value='M26' id='M26'&gt;&lt;div class='armyCardContainer ssCard'&gt;&lt;div class='ssArmyCard'&gt;&lt;div&gt;&lt;p class='marquee'&gt;milWiki is a knowledge management tool that any member of the milSuite community may access and edit. Subject matter experts are encouraged to contribute their experience and update information as it happens to build an encyclopedia of Department of Defense articles with the highest possible sensitivity of information being CONTROLLED UNCLASSIFIED INFORMATION.&lt;/p&gt;&lt;img src='assets/Card-076.png' class='ssCardImage' draggable='false' loading='lazy'&gt;&lt;/div&gt;&lt;div class='ssTitle'&gt;&lt;span id='M26Title'&gt;milWIKI&lt;/span&gt;&lt;/div&gt;&lt;/div&gt;&lt;/div&gt;&lt;/div&gt;&lt;/div&gt;&lt;script&gt;var jsM26 = document.getElementById('dragM26').innerHTML;&lt;/script&gt;</v>
      </c>
      <c r="AA164" s="1" t="str">
        <f>CONCATENATE("var js",Table1[[#This Row],[IDs]]," = document.getElementbyId('drag",Table1[[#This Row],[IDs]],"').innerHTML; //  ",Table1[[#This Row],[Site]])</f>
        <v>var jsM26 = document.getElementbyId('dragM26').innerHTML; //  milWIKI</v>
      </c>
    </row>
    <row r="165" spans="1:27" ht="15" x14ac:dyDescent="0.25">
      <c r="A165" t="s">
        <v>265</v>
      </c>
      <c r="B165" t="s">
        <v>265</v>
      </c>
      <c r="C165" s="12" t="s">
        <v>266</v>
      </c>
      <c r="D165" t="s">
        <v>792</v>
      </c>
      <c r="E165" t="s">
        <v>791</v>
      </c>
      <c r="F165" s="1" t="s">
        <v>299</v>
      </c>
      <c r="G165" s="1" t="s">
        <v>552</v>
      </c>
      <c r="H165" s="1" t="s">
        <v>552</v>
      </c>
      <c r="J165" s="1" t="s">
        <v>18</v>
      </c>
      <c r="W165" s="3" t="str">
        <f>CONCATENATE("var js",Table1[[#This Row],[IDs]]," = document.getElementbyId('",Table1[[#This Row],[IDs]],"').innerHTML; //  ",Table1[[#This Row],[Site]])</f>
        <v>var jsM10 = document.getElementbyId('M10').innerHTML; //  MOBCOP</v>
      </c>
      <c r="X165" s="1" t="str">
        <f t="shared" si="10"/>
        <v xml:space="preserve">        &lt;!--MOBCOP - https://mobcop.aoc.army.pentagon.mil/ --&gt;&lt;div class='column catAll catCombatReadiness' style='margin-bottom: 0px;' id='M10'&gt;&lt;a href='https://mobcop.aoc.army.pentagon.mil/' rel='noopener noreferrer' class='column hideMarquee'&gt;&lt;div class='armyCardContainer card'&gt;&lt;div class='armyCard'&gt;&lt;div&gt;&lt;p class='marquee'&gt;MOBCOP is an internet site where Reserve Component Soldiers (USAR, IRR, ARNG, IMA) can find and volunteer for active duty tours. Any command that has positions or missions that could be filled by a RC Soldier can post those jobs on Tour of Duty. TOD allows commands to build and validate their positions so the vacancies can be searched by Soldiers seeking active duty. The positions in TOD must be validated by the command that owns the position or mission before they can be listed. Soldiers can find positions that match their grade and skills and then request the hiring command consider them for the job.&lt;/p&gt;&lt;img src='assets/CaCRequired.png' title='A CAC is required to use some or all features of this site!' Class='cacLocked'&gt;&lt;img src='assets/DODlock.png' title='This Site requires a DoD network connection to be used!' Class='dodLocked'&gt;&lt;img src='assets/Card-105.png' class='cardImage' loading='lazy'&gt;&lt;/div&gt;&lt;div class='title'&gt;
          &lt;span&gt;MOBCOP&lt;/span&gt;&lt;/div&gt;&lt;/div&gt;&lt;/div&gt;&lt;/a&gt;&lt;/div&gt;&lt;script&gt;var jsM10 = document.getElementById('M10').innerHTML;&lt;/script&gt;</v>
      </c>
      <c r="Y16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MOBCOP - https://mobcop.aoc.army.pentagon.mil/ --&gt;
      &lt;summary&gt;• &lt;a href='https://mobcop.aoc.army.pentagon.mil/' rel='noopener noreferrer'&gt;MOBCOP - https://mobcop.aoc.army.pentagon.mil/&lt;/a&gt;&lt;/summary&gt;
      &lt;p&gt;MOBCOP is an internet site where Reserve Component Soldiers (USAR, IRR, ARNG, IMA) can find and volunteer for active duty tours. Any command that has positions or missions that could be filled by a RC Soldier can post those jobs on Tour of Duty. TOD allows commands to build and validate their positions so the vacancies can be searched by Soldiers seeking active duty. The positions in TOD must be validated by the command that owns the position or mission before they can be listed. Soldiers can find positions that match their grade and skills and then request the hiring command consider them for the job.&lt;/p&gt;
    &lt;/details&gt;</v>
      </c>
      <c r="Z165" s="1" t="str">
        <f t="shared" si="8"/>
        <v xml:space="preserve">          &lt;!-- MOBCOP - https://mobcop.aoc.army.pentagon.mil/ --&gt;&lt;div id='dragM10' class='catAll catCombatReadiness'&gt;&lt;div class='column hideMarquee' draggable='true' ondragstart='drag(event)' value='M10' id='M10'&gt;&lt;div class='armyCardContainer ssCard'&gt;&lt;div class='ssArmyCard'&gt;&lt;div&gt;&lt;p class='marquee'&gt;MOBCOP is an internet site where Reserve Component Soldiers (USAR, IRR, ARNG, IMA) can find and volunteer for active duty tours. Any command that has positions or missions that could be filled by a RC Soldier can post those jobs on Tour of Duty. TOD allows commands to build and validate their positions so the vacancies can be searched by Soldiers seeking active duty. The positions in TOD must be validated by the command that owns the position or mission before they can be listed. Soldiers can find positions that match their grade and skills and then request the hiring command consider them for the job.&lt;/p&gt;&lt;img src='assets/Card-105.png' class='ssCardImage' draggable='false' loading='lazy'&gt;&lt;/div&gt;&lt;div class='ssTitle'&gt;&lt;span id='M10Title'&gt;MOBCOP&lt;/span&gt;&lt;/div&gt;&lt;/div&gt;&lt;/div&gt;&lt;/div&gt;&lt;/div&gt;&lt;script&gt;var jsM10 = document.getElementById('dragM10').innerHTML;&lt;/script&gt;</v>
      </c>
      <c r="AA165" s="1" t="str">
        <f>CONCATENATE("var js",Table1[[#This Row],[IDs]]," = document.getElementbyId('drag",Table1[[#This Row],[IDs]],"').innerHTML; //  ",Table1[[#This Row],[Site]])</f>
        <v>var jsM10 = document.getElementbyId('dragM10').innerHTML; //  MOBCOP</v>
      </c>
    </row>
    <row r="166" spans="1:27" ht="15" x14ac:dyDescent="0.25">
      <c r="A166" t="s">
        <v>268</v>
      </c>
      <c r="B166" t="s">
        <v>268</v>
      </c>
      <c r="C166" s="12" t="s">
        <v>269</v>
      </c>
      <c r="D166" t="s">
        <v>793</v>
      </c>
      <c r="E166" t="s">
        <v>885</v>
      </c>
      <c r="F166" s="1" t="s">
        <v>273</v>
      </c>
      <c r="G166" s="1" t="s">
        <v>900</v>
      </c>
      <c r="H166" s="1" t="s">
        <v>900</v>
      </c>
      <c r="S166" s="1" t="s">
        <v>18</v>
      </c>
      <c r="W166" s="3" t="str">
        <f>CONCATENATE("var js",Table1[[#This Row],[IDs]]," = document.getElementbyId('",Table1[[#This Row],[IDs]],"').innerHTML; //  ",Table1[[#This Row],[Site]])</f>
        <v>var jsM11 = document.getElementbyId('M11').innerHTML; //  Mobile Digital Training Facility (MDTF)</v>
      </c>
      <c r="X166" s="1" t="str">
        <f t="shared" si="10"/>
        <v xml:space="preserve">        &lt;!--Mobile Digital Training Facility (MDTF) - https://www.atis.army.mil/MDTF.html --&gt;&lt;div class='column catAll catMilEd' style='margin-bottom: 0px;' id='M11'&gt;&lt;a href='https://www.atis.army.mil/MDTF.html' rel='noopener noreferrer' class='column hideMarquee'&gt;&lt;div class='armyCardContainer card'&gt;&lt;div class='armyCard'&gt;&lt;div&gt;&lt;p class='marquee'&gt;The Mobile Digital Training Facility (MDTF) is a wireless networked classroom of 10 notebook PCs designed to be connected to the unit's local wireless network for use wherever and whenever access to distributed learning is needed. It will deliver individual and collective training to Soldiers and DA Civilians anywhere and anytime.&lt;/p&gt;&lt;img src='assets/Card-017.png' class='cardImage' loading='lazy'&gt;&lt;/div&gt;&lt;div class='title'&gt;
          &lt;span&gt;Mobile Digital Training Facility (MDTF)&lt;/span&gt;&lt;/div&gt;&lt;/div&gt;&lt;/div&gt;&lt;/a&gt;&lt;/div&gt;&lt;script&gt;var jsM11 = document.getElementById('M11').innerHTML;&lt;/script&gt;</v>
      </c>
      <c r="Y16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Mobile Digital Training Facility (MDTF) - https://www.atis.army.mil/MDTF.html --&gt;
      &lt;summary&gt;• &lt;a href='https://www.atis.army.mil/MDTF.html' rel='noopener noreferrer'&gt;Mobile Digital Training Facility (MDTF) - https://www.atis.army.mil/MDTF.html&lt;/a&gt;&lt;/summary&gt;
      &lt;p&gt;The Mobile Digital Training Facility (MDTF) is a wireless networked classroom of 10 notebook PCs designed to be connected to the unit's local wireless network for use wherever and whenever access to distributed learning is needed. It will deliver individual and collective training to Soldiers and DA Civilians anywhere and anytime.&lt;/p&gt;
    &lt;/details&gt;</v>
      </c>
      <c r="Z166" s="1" t="str">
        <f t="shared" si="8"/>
        <v xml:space="preserve">          &lt;!-- Mobile Digital Training Facility (MDTF) - https://www.atis.army.mil/MDTF.html --&gt;&lt;div id='dragM11' class='catAll catMilEd'&gt;&lt;div class='column hideMarquee' draggable='true' ondragstart='drag(event)' value='M11' id='M11'&gt;&lt;div class='armyCardContainer ssCard'&gt;&lt;div class='ssArmyCard'&gt;&lt;div&gt;&lt;p class='marquee'&gt;The Mobile Digital Training Facility (MDTF) is a wireless networked classroom of 10 notebook PCs designed to be connected to the unit's local wireless network for use wherever and whenever access to distributed learning is needed. It will deliver individual and collective training to Soldiers and DA Civilians anywhere and anytime.&lt;/p&gt;&lt;img src='assets/Card-017.png' class='ssCardImage' draggable='false' loading='lazy'&gt;&lt;/div&gt;&lt;div class='ssTitle'&gt;&lt;span id='M11Title'&gt;Mobile Digital Training Facility (MDTF)&lt;/span&gt;&lt;/div&gt;&lt;/div&gt;&lt;/div&gt;&lt;/div&gt;&lt;/div&gt;&lt;script&gt;var jsM11 = document.getElementById('dragM11').innerHTML;&lt;/script&gt;</v>
      </c>
      <c r="AA166" s="1" t="str">
        <f>CONCATENATE("var js",Table1[[#This Row],[IDs]]," = document.getElementbyId('drag",Table1[[#This Row],[IDs]],"').innerHTML; //  ",Table1[[#This Row],[Site]])</f>
        <v>var jsM11 = document.getElementbyId('dragM11').innerHTML; //  Mobile Digital Training Facility (MDTF)</v>
      </c>
    </row>
    <row r="167" spans="1:27" ht="15" x14ac:dyDescent="0.25">
      <c r="A167" t="s">
        <v>461</v>
      </c>
      <c r="B167" t="s">
        <v>461</v>
      </c>
      <c r="C167" s="8" t="s">
        <v>479</v>
      </c>
      <c r="D167" t="s">
        <v>795</v>
      </c>
      <c r="E167" t="s">
        <v>794</v>
      </c>
      <c r="F167" s="1" t="s">
        <v>478</v>
      </c>
      <c r="G167" s="1" t="s">
        <v>900</v>
      </c>
      <c r="H167" s="1" t="s">
        <v>552</v>
      </c>
      <c r="K167" s="1" t="s">
        <v>18</v>
      </c>
      <c r="W167" s="3" t="str">
        <f>CONCATENATE("var js",Table1[[#This Row],[IDs]]," = document.getElementbyId('",Table1[[#This Row],[IDs]],"').innerHTML; //  ",Table1[[#This Row],[Site]])</f>
        <v>var jsM24 = document.getElementbyId('M24').innerHTML; //  Move.Mil</v>
      </c>
      <c r="X167" s="1" t="str">
        <f t="shared" si="10"/>
        <v xml:space="preserve">        &lt;!--Move.Mil - https://my.move.mil/ --&gt;&lt;div class='column catAll catDod' style='margin-bottom: 0px;' id='M24'&gt;&lt;a href='https://my.move.mil/' rel='noopener noreferrer' class='column hideMarquee'&gt;&lt;div class='armyCardContainer card'&gt;&lt;div class='armyCard'&gt;&lt;div&gt;&lt;p class='marquee'&gt;This is a new system from USTRANSCOM to support the relocation of families during PCS. Right now, use of this system is by invitation only.&lt;/p&gt;&lt;img src='assets/CaCRequired.png' title='A CAC is required to use some or all features of this site!' Class='cacLocked'&gt;&lt;img src='assets/Card-149.png' class='cardImage' loading='lazy'&gt;&lt;/div&gt;&lt;div class='title'&gt;
          &lt;span&gt;Move.Mil&lt;/span&gt;&lt;/div&gt;&lt;/div&gt;&lt;/div&gt;&lt;/a&gt;&lt;/div&gt;&lt;script&gt;var jsM24 = document.getElementById('M24').innerHTML;&lt;/script&gt;</v>
      </c>
      <c r="Y16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Move.Mil - https://my.move.mil/ --&gt;
      &lt;summary&gt;• &lt;a href='https://my.move.mil/' rel='noopener noreferrer'&gt;Move.Mil - https://my.move.mil/&lt;/a&gt;&lt;/summary&gt;
      &lt;p&gt;This is a new system from USTRANSCOM to support the relocation of families during PCS. Right now, use of this system is by invitation only.&lt;/p&gt;
    &lt;/details&gt;</v>
      </c>
      <c r="Z167" s="1" t="str">
        <f t="shared" si="8"/>
        <v xml:space="preserve">          &lt;!-- Move.Mil - https://my.move.mil/ --&gt;&lt;div id='dragM24' class='catAll catDod'&gt;&lt;div class='column hideMarquee' draggable='true' ondragstart='drag(event)' value='M24' id='M24'&gt;&lt;div class='armyCardContainer ssCard'&gt;&lt;div class='ssArmyCard'&gt;&lt;div&gt;&lt;p class='marquee'&gt;This is a new system from USTRANSCOM to support the relocation of families during PCS. Right now, use of this system is by invitation only.&lt;/p&gt;&lt;img src='assets/Card-149.png' class='ssCardImage' draggable='false' loading='lazy'&gt;&lt;/div&gt;&lt;div class='ssTitle'&gt;&lt;span id='M24Title'&gt;Move.Mil&lt;/span&gt;&lt;/div&gt;&lt;/div&gt;&lt;/div&gt;&lt;/div&gt;&lt;/div&gt;&lt;script&gt;var jsM24 = document.getElementById('dragM24').innerHTML;&lt;/script&gt;</v>
      </c>
      <c r="AA167" s="1" t="str">
        <f>CONCATENATE("var js",Table1[[#This Row],[IDs]]," = document.getElementbyId('drag",Table1[[#This Row],[IDs]],"').innerHTML; //  ",Table1[[#This Row],[Site]])</f>
        <v>var jsM24 = document.getElementbyId('dragM24').innerHTML; //  Move.Mil</v>
      </c>
    </row>
    <row r="168" spans="1:27" ht="15" x14ac:dyDescent="0.25">
      <c r="A168" t="s">
        <v>271</v>
      </c>
      <c r="B168" t="s">
        <v>271</v>
      </c>
      <c r="C168" s="12" t="s">
        <v>272</v>
      </c>
      <c r="D168" t="s">
        <v>623</v>
      </c>
      <c r="E168" t="s">
        <v>796</v>
      </c>
      <c r="F168" s="1" t="s">
        <v>276</v>
      </c>
      <c r="G168" s="1" t="s">
        <v>900</v>
      </c>
      <c r="H168" s="1" t="s">
        <v>900</v>
      </c>
      <c r="I168" s="1" t="s">
        <v>18</v>
      </c>
      <c r="W168" s="3" t="str">
        <f>CONCATENATE("var js",Table1[[#This Row],[IDs]]," = document.getElementbyId('",Table1[[#This Row],[IDs]],"').innerHTML; //  ",Table1[[#This Row],[Site]])</f>
        <v>var jsM12 = document.getElementbyId('M12').innerHTML; //  My Army Benefits</v>
      </c>
      <c r="X168" s="1" t="str">
        <f t="shared" si="10"/>
        <v xml:space="preserve">        &lt;!--My Army Benefits - https://myarmybenefits.us.army.mil/  --&gt;&lt;div class='column catAll catArmySites' style='margin-bottom: 0px;' id='M12'&gt;&lt;a href='https://myarmybenefits.us.army.mil/ ' rel='noopener noreferrer' class='column hideMarquee'&gt;&lt;div class='armyCardContainer card'&gt;&lt;div class='armyCard'&gt;&lt;div&gt;&lt;p class='marquee'&gt;MyArmyBenefits is the Official Army Benefits Website. Forecast Your Retirement Benefits. Calculate Estimates of Your Survivor and Survivor Education Benefits. Browse Over 150 Fact Sheets for Benefit Eligibility and Highlights.&lt;/p&gt;&lt;img src='assets/Card-001.png' class='cardImage' loading='lazy'&gt;&lt;/div&gt;&lt;div class='title'&gt;
          &lt;span&gt;My Army Benefits&lt;/span&gt;&lt;/div&gt;&lt;/div&gt;&lt;/div&gt;&lt;/a&gt;&lt;/div&gt;&lt;script&gt;var jsM12 = document.getElementById('M12').innerHTML;&lt;/script&gt;</v>
      </c>
      <c r="Y16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Army Benefits - https://myarmybenefits.us.army.mil/  --&gt;
      &lt;summary&gt;• &lt;a href='https://myarmybenefits.us.army.mil/ ' rel='noopener noreferrer'&gt;My Army Benefits - https://myarmybenefits.us.army.mil/ &lt;/a&gt;&lt;/summary&gt;
      &lt;p&gt;MyArmyBenefits is the Official Army Benefits Website. Forecast Your Retirement Benefits. Calculate Estimates of Your Survivor and Survivor Education Benefits. Browse Over 150 Fact Sheets for Benefit Eligibility and Highlights.&lt;/p&gt;
    &lt;/details&gt;</v>
      </c>
      <c r="Z168" s="1" t="str">
        <f t="shared" si="8"/>
        <v xml:space="preserve">          &lt;!-- My Army Benefits - https://myarmybenefits.us.army.mil/  --&gt;&lt;div id='dragM12' class='catAll catArmySites'&gt;&lt;div class='column hideMarquee' draggable='true' ondragstart='drag(event)' value='M12' id='M12'&gt;&lt;div class='armyCardContainer ssCard'&gt;&lt;div class='ssArmyCard'&gt;&lt;div&gt;&lt;p class='marquee'&gt;MyArmyBenefits is the Official Army Benefits Website. Forecast Your Retirement Benefits. Calculate Estimates of Your Survivor and Survivor Education Benefits. Browse Over 150 Fact Sheets for Benefit Eligibility and Highlights.&lt;/p&gt;&lt;img src='assets/Card-001.png' class='ssCardImage' draggable='false' loading='lazy'&gt;&lt;/div&gt;&lt;div class='ssTitle'&gt;&lt;span id='M12Title'&gt;My Army Benefits&lt;/span&gt;&lt;/div&gt;&lt;/div&gt;&lt;/div&gt;&lt;/div&gt;&lt;/div&gt;&lt;script&gt;var jsM12 = document.getElementById('dragM12').innerHTML;&lt;/script&gt;</v>
      </c>
      <c r="AA168" s="1" t="str">
        <f>CONCATENATE("var js",Table1[[#This Row],[IDs]]," = document.getElementbyId('drag",Table1[[#This Row],[IDs]],"').innerHTML; //  ",Table1[[#This Row],[Site]])</f>
        <v>var jsM12 = document.getElementbyId('dragM12').innerHTML; //  My Army Benefits</v>
      </c>
    </row>
    <row r="169" spans="1:27" ht="15" x14ac:dyDescent="0.25">
      <c r="A169" t="s">
        <v>274</v>
      </c>
      <c r="B169" t="s">
        <v>274</v>
      </c>
      <c r="C169" s="1" t="s">
        <v>275</v>
      </c>
      <c r="D169" t="s">
        <v>641</v>
      </c>
      <c r="E169" t="s">
        <v>797</v>
      </c>
      <c r="F169" s="1" t="s">
        <v>279</v>
      </c>
      <c r="G169" s="1" t="s">
        <v>900</v>
      </c>
      <c r="H169" s="1" t="s">
        <v>552</v>
      </c>
      <c r="I169" s="1" t="s">
        <v>18</v>
      </c>
      <c r="O169" s="1" t="s">
        <v>18</v>
      </c>
      <c r="W169" s="3" t="str">
        <f>CONCATENATE("var js",Table1[[#This Row],[IDs]]," = document.getElementbyId('",Table1[[#This Row],[IDs]],"').innerHTML; //  ",Table1[[#This Row],[Site]])</f>
        <v>var jsM13 = document.getElementbyId('M13').innerHTML; //  My Clothing Record</v>
      </c>
      <c r="X169" s="1" t="str">
        <f t="shared" si="10"/>
        <v xml:space="preserve">        &lt;!--My Clothing Record - https://ism.army.mil/ism/SelfServiceServlet?nav.nav_id=ssMyClothing --&gt;&lt;div class='column catAll catArmySites catHuman' style='margin-bottom: 0px;' id='M13'&gt;&lt;a href='https://ism.army.mil/ism/SelfServiceServlet?nav.nav_id=ssMyClothing' rel='noopener noreferrer' class='column hideMarquee'&gt;&lt;div class='armyCardContainer card'&gt;&lt;div class='armyCard'&gt;&lt;div&gt;&lt;p class='marquee'&gt;An online portal allowing Soldiers to manage their organizational clothing and individual equipment&lt;/p&gt;&lt;img src='assets/CaCRequired.png' title='A CAC is required to use some or all features of this site!' Class='cacLocked'&gt;&lt;img src='assets/Card-082.jpg' class='cardImage' loading='lazy'&gt;&lt;/div&gt;&lt;div class='title'&gt;
          &lt;span&gt;My Clothing Record&lt;/span&gt;&lt;/div&gt;&lt;/div&gt;&lt;/div&gt;&lt;/a&gt;&lt;/div&gt;&lt;script&gt;var jsM13 = document.getElementById('M13').innerHTML;&lt;/script&gt;</v>
      </c>
      <c r="Y16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Clothing Record - https://ism.army.mil/ism/SelfServiceServlet?nav.nav_id=ssMyClothing --&gt;
      &lt;summary&gt;• &lt;a href='https://ism.army.mil/ism/SelfServiceServlet?nav.nav_id=ssMyClothing' rel='noopener noreferrer'&gt;My Clothing Record - https://ism.army.mil/ism/SelfServiceServlet?nav.nav_id=ssMyClothing&lt;/a&gt;&lt;/summary&gt;
      &lt;p&gt;An online portal allowing Soldiers to manage their organizational clothing and individual equipment&lt;/p&gt;
    &lt;/details&gt;</v>
      </c>
      <c r="Z169" s="1" t="str">
        <f t="shared" si="8"/>
        <v xml:space="preserve">          &lt;!-- My Clothing Record - https://ism.army.mil/ism/SelfServiceServlet?nav.nav_id=ssMyClothing --&gt;&lt;div id='dragM13' class='catAll catArmySites catHuman'&gt;&lt;div class='column hideMarquee' draggable='true' ondragstart='drag(event)' value='M13' id='M13'&gt;&lt;div class='armyCardContainer ssCard'&gt;&lt;div class='ssArmyCard'&gt;&lt;div&gt;&lt;p class='marquee'&gt;An online portal allowing Soldiers to manage their organizational clothing and individual equipment&lt;/p&gt;&lt;img src='assets/Card-082.jpg' class='ssCardImage' draggable='false' loading='lazy'&gt;&lt;/div&gt;&lt;div class='ssTitle'&gt;&lt;span id='M13Title'&gt;My Clothing Record&lt;/span&gt;&lt;/div&gt;&lt;/div&gt;&lt;/div&gt;&lt;/div&gt;&lt;/div&gt;&lt;script&gt;var jsM13 = document.getElementById('dragM13').innerHTML;&lt;/script&gt;</v>
      </c>
      <c r="AA169" s="1" t="str">
        <f>CONCATENATE("var js",Table1[[#This Row],[IDs]]," = document.getElementbyId('drag",Table1[[#This Row],[IDs]],"').innerHTML; //  ",Table1[[#This Row],[Site]])</f>
        <v>var jsM13 = document.getElementbyId('dragM13').innerHTML; //  My Clothing Record</v>
      </c>
    </row>
    <row r="170" spans="1:27" ht="15" hidden="1" x14ac:dyDescent="0.25">
      <c r="A170" s="1" t="s">
        <v>1064</v>
      </c>
      <c r="C170" s="1" t="s">
        <v>1063</v>
      </c>
      <c r="E170" s="1" t="s">
        <v>1073</v>
      </c>
      <c r="W170" s="3" t="str">
        <f>CONCATENATE("var js",Table1[[#This Row],[IDs]]," = document.getElementbyId('",Table1[[#This Row],[IDs]],"').innerHTML; //  ",Table1[[#This Row],[Site]])</f>
        <v>var js = document.getElementbyId('').innerHTML; //  My Digital Job Book</v>
      </c>
      <c r="X170" s="1" t="str">
        <f>CONCATENATE("        &lt;!--",A170," - ",C170," --&gt;
        &lt;div class='column catAll",IF(I170="X"," catArmySites",""),IF(J170="X"," catCombatReadiness",""),IF(K170="X"," catDod",""),IF(L170="X"," catFamily",""),IF(M170="X"," catFinance",""),IF(N170="X"," catHealth",""),IF(O170="X"," catHuman",""),IF(P170="X"," catLegal",""),IF(Q170="X"," catProDev",""),IF(R170="X"," catTech",""),IF(S170="X"," catMilEd",""),IF(T170="X"," catCivEd",""),IF(U170="X"," catUsGov",""),"' style='margin-bottom: 0px;' id='",F170,"'&gt;
          &lt;a href='",C170,"' rel='noopener noreferrer' class='column hideMarquee'&gt;
            &lt;div class='armyCardContainer card'&gt;
              &lt;div class='armyCard'&gt;
                &lt;div&gt;
                  &lt;p class='marquee'&gt;",E170,"&lt;/p&gt;",
IF(H170="Yes","									&lt;img src='assets/CaCRequired.png'  title='A CAC is required to use some or all features of this site!' Class='cacLocked'&gt;
",""),IF(G170="Yes","									&lt;img src='assets/DODlock.png' title='This Site requires a DoD network connection to be used!' Class='dodLocked'&gt;
",""),"
                  &lt;img src='assets/",D170,"' class='cardImage' loading='lazy'&gt;
                &lt;/div&gt;
                &lt;div class='title'&gt;
                  &lt;span&gt;",A170,"&lt;/span&gt;
                &lt;/div&gt;
              &lt;/div&gt;
            &lt;/div&gt;
          &lt;/a&gt;
        &lt;/div&gt;")</f>
        <v xml:space="preserve">        &lt;!--My Digital Job Book - https://atn.army.mil/mytraining/ --&gt;
        &lt;div class='column catAll' style='margin-bottom: 0px;' id=''&gt;
          &lt;a href='https://atn.army.mil/mytraining/' rel='noopener noreferrer' class='column hideMarquee'&gt;
            &lt;div class='armyCardContainer card'&gt;
              &lt;div class='armyCard'&gt;
                &lt;div&gt;
                  &lt;p class='marquee'&gt;My Digital Job Book allows a soldier to access their current training record currently found in DTMS.&lt;/p&gt;
                  &lt;img src='assets/' class='cardImage' loading='lazy'&gt;
                &lt;/div&gt;
                &lt;div class='title'&gt;
                  &lt;span&gt;My Digital Job Book&lt;/span&gt;
                &lt;/div&gt;
              &lt;/div&gt;
            &lt;/div&gt;
          &lt;/a&gt;
        &lt;/div&gt;</v>
      </c>
      <c r="Y17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Digital Job Book - https://atn.army.mil/mytraining/ --&gt;
      &lt;summary&gt;• &lt;a href='https://atn.army.mil/mytraining/' rel='noopener noreferrer'&gt;My Digital Job Book - https://atn.army.mil/mytraining/&lt;/a&gt;&lt;/summary&gt;
      &lt;p&gt;My Digital Job Book allows a soldier to access their current training record currently found in DTMS.&lt;/p&gt;
    &lt;/details&gt;</v>
      </c>
      <c r="Z170" s="1" t="str">
        <f t="shared" si="8"/>
        <v xml:space="preserve">          &lt;!--  - https://atn.army.mil/mytraining/ --&gt;&lt;div id='drag' class='catAll'&gt;&lt;div class='column hideMarquee' draggable='true' ondragstart='drag(event)' value='' id=''&gt;&lt;div class='armyCardContainer ssCard'&gt;&lt;div class='ssArmyCard'&gt;&lt;div&gt;&lt;p class='marquee'&gt;My Digital Job Book allows a soldier to access their current training record currently found in DTMS.&lt;/p&gt;&lt;img src='assets/' class='ssCardImage' draggable='false' loading='lazy'&gt;&lt;/div&gt;&lt;div class='ssTitle'&gt;&lt;span id='Title'&gt;My Digital Job Book&lt;/span&gt;&lt;/div&gt;&lt;/div&gt;&lt;/div&gt;&lt;/div&gt;&lt;/div&gt;&lt;script&gt;var js = document.getElementById('drag').innerHTML;&lt;/script&gt;</v>
      </c>
      <c r="AA170" s="1" t="str">
        <f>CONCATENATE("var js",Table1[[#This Row],[IDs]]," = document.getElementbyId('drag",Table1[[#This Row],[IDs]],"').innerHTML; //  ",Table1[[#This Row],[Site]])</f>
        <v>var js = document.getElementbyId('drag').innerHTML; //  My Digital Job Book</v>
      </c>
    </row>
    <row r="171" spans="1:27" ht="15" x14ac:dyDescent="0.25">
      <c r="A171" t="s">
        <v>277</v>
      </c>
      <c r="B171" t="s">
        <v>1054</v>
      </c>
      <c r="C171" s="8" t="s">
        <v>278</v>
      </c>
      <c r="D171" t="s">
        <v>799</v>
      </c>
      <c r="E171" t="s">
        <v>1057</v>
      </c>
      <c r="F171" s="1" t="s">
        <v>282</v>
      </c>
      <c r="G171" s="1" t="s">
        <v>552</v>
      </c>
      <c r="H171" s="1" t="s">
        <v>552</v>
      </c>
      <c r="I171" s="1" t="s">
        <v>18</v>
      </c>
      <c r="O171" s="1" t="s">
        <v>18</v>
      </c>
      <c r="W171" s="3" t="str">
        <f>CONCATENATE("var js",Table1[[#This Row],[IDs]]," = document.getElementbyId('",Table1[[#This Row],[IDs]],"').innerHTML; //  ",Table1[[#This Row],[Site]])</f>
        <v>var jsM14 = document.getElementbyId('M14').innerHTML; //  My Enlisted Record Brief (ERB)</v>
      </c>
      <c r="X171" s="1" t="str">
        <f t="shared" ref="X171:X202" si="11">CONCATENATE("        &lt;!--",A171," - ",C171," --&gt;&lt;div class='column catAll",IF(I171="X"," catArmySites",""),IF(J171="X"," catCombatReadiness",""),IF(K171="X"," catDod",""),IF(L171="X"," catFamily",""),IF(M171="X"," catFinance",""),IF(N171="X"," catHealth",""),IF(O171="X"," catHuman",""),IF(P171="X"," catLegal",""),IF(Q171="X"," catProDev",""),IF(R171="X"," catTech",""),IF(S171="X"," catMilEd",""),IF(T171="X"," catCivEd",""),IF(U171="X"," catUsGov",""),"' style='margin-bottom: 0px;' id='",F171,"'&gt;&lt;a href='",C171,"' rel='noopener noreferrer' class='column hideMarquee'&gt;&lt;div class='armyCardContainer card'&gt;&lt;div class='armyCard'&gt;&lt;div&gt;&lt;p class='marquee'&gt;",E171,"&lt;/p&gt;",IF(H171="Yes","&lt;img src='assets/CaCRequired.png' title='A CAC is required to use some or all features of this site!' Class='cacLocked'&gt;",""),IF(G171="Yes","&lt;img src='assets/DODlock.png' title='This Site requires a DoD network connection to be used!' Class='dodLocked'&gt;",""),"&lt;img src='assets/",D171,"' class='cardImage' loading='lazy'&gt;&lt;/div&gt;&lt;div class='title'&gt;
          &lt;span&gt;",A171,"&lt;/span&gt;&lt;/div&gt;&lt;/div&gt;&lt;/div&gt;&lt;/a&gt;&lt;/div&gt;&lt;script&gt;var js",F171," = document.getElementById('",F171,"').innerHTML;&lt;/script&gt;")</f>
        <v xml:space="preserve">        &lt;!--My Enlisted Record Brief (ERB) - https://myerb.ahrs.army.mil/soldierLogin.do --&gt;&lt;div class='column catAll catArmySites catHuman' style='margin-bottom: 0px;' id='M14'&gt;&lt;a href='https://myerb.ahrs.army.mil/soldierLogin.do' rel='noopener noreferrer' class='column hideMarquee'&gt;&lt;div class='armyCardContainer card'&gt;&lt;div class='armyCard'&gt;&lt;div&gt;&lt;p class='marquee'&gt;This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more!&lt;/p&gt;&lt;img src='assets/CaCRequired.png' title='A CAC is required to use some or all features of this site!' Class='cacLocked'&gt;&lt;img src='assets/DODlock.png' title='This Site requires a DoD network connection to be used!' Class='dodLocked'&gt;&lt;img src='assets/Card-081.jpeg' class='cardImage' loading='lazy'&gt;&lt;/div&gt;&lt;div class='title'&gt;
          &lt;span&gt;My Enlisted Record Brief (ERB)&lt;/span&gt;&lt;/div&gt;&lt;/div&gt;&lt;/div&gt;&lt;/a&gt;&lt;/div&gt;&lt;script&gt;var jsM14 = document.getElementById('M14').innerHTML;&lt;/script&gt;</v>
      </c>
      <c r="Y17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Enlisted Record Brief (ERB) - https://myerb.ahrs.army.mil/soldierLogin.do --&gt;
      &lt;summary&gt;• &lt;a href='https://myerb.ahrs.army.mil/soldierLogin.do' rel='noopener noreferrer'&gt;My Enlisted Record Brief (ERB) - https://myerb.ahrs.army.mil/soldierLogin.do&lt;/a&gt;&lt;/summary&gt;
      &lt;p&gt;This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
    &lt;/details&gt;</v>
      </c>
      <c r="Z171" s="1" t="str">
        <f t="shared" si="8"/>
        <v xml:space="preserve">          &lt;!-- My Enlisted Record Brief (ERB - LEGACY) - https://myerb.ahrs.army.mil/soldierLogin.do --&gt;&lt;div id='dragM14' class='catAll catArmySites catHuman'&gt;&lt;div class='column hideMarquee' draggable='true' ondragstart='drag(event)' value='M14' id='M14'&gt;&lt;div class='armyCardContainer ssCard'&gt;&lt;div class='ssArmyCard'&gt;&lt;div&gt;&lt;p class='marquee'&gt;This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more!&lt;/p&gt;&lt;img src='assets/Card-081.jpeg' class='ssCardImage' draggable='false' loading='lazy'&gt;&lt;/div&gt;&lt;div class='ssTitle'&gt;&lt;span id='M14Title'&gt;My Enlisted Record Brief (ERB)&lt;/span&gt;&lt;/div&gt;&lt;/div&gt;&lt;/div&gt;&lt;/div&gt;&lt;/div&gt;&lt;script&gt;var jsM14 = document.getElementById('dragM14').innerHTML;&lt;/script&gt;</v>
      </c>
      <c r="AA171" s="1" t="str">
        <f>CONCATENATE("var js",Table1[[#This Row],[IDs]]," = document.getElementbyId('drag",Table1[[#This Row],[IDs]],"').innerHTML; //  ",Table1[[#This Row],[Site]])</f>
        <v>var jsM14 = document.getElementbyId('dragM14').innerHTML; //  My Enlisted Record Brief (ERB)</v>
      </c>
    </row>
    <row r="172" spans="1:27" ht="15" x14ac:dyDescent="0.25">
      <c r="A172" t="s">
        <v>280</v>
      </c>
      <c r="B172" t="s">
        <v>1055</v>
      </c>
      <c r="C172" s="16" t="s">
        <v>1034</v>
      </c>
      <c r="D172" t="s">
        <v>799</v>
      </c>
      <c r="E172" t="s">
        <v>1057</v>
      </c>
      <c r="F172" s="1" t="s">
        <v>284</v>
      </c>
      <c r="G172" s="1" t="s">
        <v>552</v>
      </c>
      <c r="H172" s="1" t="s">
        <v>552</v>
      </c>
      <c r="O172" s="1" t="s">
        <v>18</v>
      </c>
      <c r="W172" s="3" t="str">
        <f>CONCATENATE("var js",Table1[[#This Row],[IDs]]," = document.getElementbyId('",Table1[[#This Row],[IDs]],"').innerHTML; //  ",Table1[[#This Row],[Site]])</f>
        <v>var jsM15 = document.getElementbyId('M15').innerHTML; //  My Enlisted/Officer Record Brief (National Guard)</v>
      </c>
      <c r="X172" s="1" t="str">
        <f t="shared" si="11"/>
        <v xml:space="preserve">        &lt;!--My Enlisted/Officer Record Brief (National Guard) - https://arngg1.ngb.army.mil/v3/SelfService/Careercenter/RBMain.aspx --&gt;&lt;div class='column catAll catHuman' style='margin-bottom: 0px;' id='M15'&gt;&lt;a href='https://arngg1.ngb.army.mil/v3/SelfService/Careercenter/RBMain.aspx' rel='noopener noreferrer' class='column hideMarquee'&gt;&lt;div class='armyCardContainer card'&gt;&lt;div class='armyCard'&gt;&lt;div&gt;&lt;p class='marquee'&gt;This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more!&lt;/p&gt;&lt;img src='assets/CaCRequired.png' title='A CAC is required to use some or all features of this site!' Class='cacLocked'&gt;&lt;img src='assets/DODlock.png' title='This Site requires a DoD network connection to be used!' Class='dodLocked'&gt;&lt;img src='assets/Card-081.jpeg' class='cardImage' loading='lazy'&gt;&lt;/div&gt;&lt;div class='title'&gt;
          &lt;span&gt;My Enlisted/Officer Record Brief (National Guard)&lt;/span&gt;&lt;/div&gt;&lt;/div&gt;&lt;/div&gt;&lt;/a&gt;&lt;/div&gt;&lt;script&gt;var jsM15 = document.getElementById('M15').innerHTML;&lt;/script&gt;</v>
      </c>
      <c r="Y17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Enlisted/Officer Record Brief (National Guard) - https://arngg1.ngb.army.mil/v3/SelfService/Careercenter/RBMain.aspx --&gt;
      &lt;summary&gt;• &lt;a href='https://arngg1.ngb.army.mil/v3/SelfService/Careercenter/RBMain.aspx' rel='noopener noreferrer'&gt;My Enlisted/Officer Record Brief (National Guard) - https://arngg1.ngb.army.mil/v3/SelfService/Careercenter/RBMain.aspx&lt;/a&gt;&lt;/summary&gt;
      &lt;p&gt;This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
    &lt;/details&gt;</v>
      </c>
      <c r="Z172" s="1" t="str">
        <f t="shared" si="8"/>
        <v xml:space="preserve">          &lt;!-- My Enlisted/Officer Record Brief (National Guard - LEGACY) - https://arngg1.ngb.army.mil/v3/SelfService/Careercenter/RBMain.aspx --&gt;&lt;div id='dragM15' class='catAll catHuman'&gt;&lt;div class='column hideMarquee' draggable='true' ondragstart='drag(event)' value='M15' id='M15'&gt;&lt;div class='armyCardContainer ssCard'&gt;&lt;div class='ssArmyCard'&gt;&lt;div&gt;&lt;p class='marquee'&gt;This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more!&lt;/p&gt;&lt;img src='assets/Card-081.jpeg' class='ssCardImage' draggable='false' loading='lazy'&gt;&lt;/div&gt;&lt;div class='ssTitle'&gt;&lt;span id='M15Title'&gt;My Enlisted/Officer Record Brief (National Guard)&lt;/span&gt;&lt;/div&gt;&lt;/div&gt;&lt;/div&gt;&lt;/div&gt;&lt;/div&gt;&lt;script&gt;var jsM15 = document.getElementById('dragM15').innerHTML;&lt;/script&gt;</v>
      </c>
      <c r="AA172" s="1" t="str">
        <f>CONCATENATE("var js",Table1[[#This Row],[IDs]]," = document.getElementbyId('drag",Table1[[#This Row],[IDs]],"').innerHTML; //  ",Table1[[#This Row],[Site]])</f>
        <v>var jsM15 = document.getElementbyId('dragM15').innerHTML; //  My Enlisted/Officer Record Brief (National Guard)</v>
      </c>
    </row>
    <row r="173" spans="1:27" ht="15" x14ac:dyDescent="0.25">
      <c r="A173" t="s">
        <v>283</v>
      </c>
      <c r="B173" t="s">
        <v>1056</v>
      </c>
      <c r="C173" s="12" t="s">
        <v>281</v>
      </c>
      <c r="D173" t="s">
        <v>799</v>
      </c>
      <c r="E173" s="1" t="s">
        <v>1057</v>
      </c>
      <c r="F173" s="1" t="s">
        <v>287</v>
      </c>
      <c r="G173" s="1" t="s">
        <v>552</v>
      </c>
      <c r="H173" s="2" t="s">
        <v>552</v>
      </c>
      <c r="O173" s="1" t="s">
        <v>18</v>
      </c>
      <c r="W173" s="3" t="str">
        <f>CONCATENATE("var js",Table1[[#This Row],[IDs]]," = document.getElementbyId('",Table1[[#This Row],[IDs]],"').innerHTML; //  ",Table1[[#This Row],[Site]])</f>
        <v>var jsM16 = document.getElementbyId('M16').innerHTML; //  My Enlisted/Officer Record Brief (Reserve)</v>
      </c>
      <c r="X173" s="1" t="str">
        <f t="shared" si="11"/>
        <v xml:space="preserve">        &lt;!--My Enlisted/Officer Record Brief (Reserve) - https://selfservice.rcms.usar.army.mil/SelfService/home/selfservice --&gt;&lt;div class='column catAll catHuman' style='margin-bottom: 0px;' id='M16'&gt;&lt;a href='https://selfservice.rcms.usar.army.mil/SelfService/home/selfservice' rel='noopener noreferrer' class='column hideMarquee'&gt;&lt;div class='armyCardContainer card'&gt;&lt;div class='armyCard'&gt;&lt;div&gt;&lt;p class='marquee'&gt;This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more!&lt;/p&gt;&lt;img src='assets/CaCRequired.png' title='A CAC is required to use some or all features of this site!' Class='cacLocked'&gt;&lt;img src='assets/DODlock.png' title='This Site requires a DoD network connection to be used!' Class='dodLocked'&gt;&lt;img src='assets/Card-081.jpeg' class='cardImage' loading='lazy'&gt;&lt;/div&gt;&lt;div class='title'&gt;
          &lt;span&gt;My Enlisted/Officer Record Brief (Reserve)&lt;/span&gt;&lt;/div&gt;&lt;/div&gt;&lt;/div&gt;&lt;/a&gt;&lt;/div&gt;&lt;script&gt;var jsM16 = document.getElementById('M16').innerHTML;&lt;/script&gt;</v>
      </c>
      <c r="Y17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Enlisted/Officer Record Brief (Reserve) - https://selfservice.rcms.usar.army.mil/SelfService/home/selfservice --&gt;
      &lt;summary&gt;• &lt;a href='https://selfservice.rcms.usar.army.mil/SelfService/home/selfservice' rel='noopener noreferrer'&gt;My Enlisted/Officer Record Brief (Reserve) - https://selfservice.rcms.usar.army.mil/SelfService/home/selfservice&lt;/a&gt;&lt;/summary&gt;
      &lt;p&gt;This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
    &lt;/details&gt;</v>
      </c>
      <c r="Z173" s="1" t="str">
        <f t="shared" si="8"/>
        <v xml:space="preserve">          &lt;!-- My Enlisted/Officer Record Brief (Reserve - LEGACY) - https://selfservice.rcms.usar.army.mil/SelfService/home/selfservice --&gt;&lt;div id='dragM16' class='catAll catHuman'&gt;&lt;div class='column hideMarquee' draggable='true' ondragstart='drag(event)' value='M16' id='M16'&gt;&lt;div class='armyCardContainer ssCard'&gt;&lt;div class='ssArmyCard'&gt;&lt;div&gt;&lt;p class='marquee'&gt;This is a Legacy Card, Some or all of its funcions may no longer be avalible.&lt;br&gt;The Soldier Record Brief (SRB/ORB/ERB) is a new multi‐Component report that provides a snapshot of a Soldier's military career information. It details a Soldiers career in the military by listing all courses taken, duty stations, ASVAB scores and much more!&lt;/p&gt;&lt;img src='assets/Card-081.jpeg' class='ssCardImage' draggable='false' loading='lazy'&gt;&lt;/div&gt;&lt;div class='ssTitle'&gt;&lt;span id='M16Title'&gt;My Enlisted/Officer Record Brief (Reserve)&lt;/span&gt;&lt;/div&gt;&lt;/div&gt;&lt;/div&gt;&lt;/div&gt;&lt;/div&gt;&lt;script&gt;var jsM16 = document.getElementById('dragM16').innerHTML;&lt;/script&gt;</v>
      </c>
      <c r="AA173" s="1" t="str">
        <f>CONCATENATE("var js",Table1[[#This Row],[IDs]]," = document.getElementbyId('drag",Table1[[#This Row],[IDs]],"').innerHTML; //  ",Table1[[#This Row],[Site]])</f>
        <v>var jsM16 = document.getElementbyId('dragM16').innerHTML; //  My Enlisted/Officer Record Brief (Reserve)</v>
      </c>
    </row>
    <row r="174" spans="1:27" ht="15" x14ac:dyDescent="0.25">
      <c r="A174" s="1" t="s">
        <v>1028</v>
      </c>
      <c r="B174" t="s">
        <v>960</v>
      </c>
      <c r="C174" s="16" t="s">
        <v>1078</v>
      </c>
      <c r="D174" t="s">
        <v>746</v>
      </c>
      <c r="E174" s="1" t="s">
        <v>985</v>
      </c>
      <c r="F174" s="1" t="s">
        <v>1019</v>
      </c>
      <c r="G174" s="1" t="s">
        <v>900</v>
      </c>
      <c r="H174" s="1" t="s">
        <v>552</v>
      </c>
      <c r="O174" s="1" t="s">
        <v>18</v>
      </c>
      <c r="W174" s="3" t="str">
        <f>CONCATENATE("var js",Table1[[#This Row],[IDs]]," = document.getElementbyId('",Table1[[#This Row],[IDs]],"').innerHTML; //  ",Table1[[#This Row],[Site]])</f>
        <v>var jsM27 = document.getElementbyId('M27').innerHTML; //  My Leave Dashboard (IPPS-A)</v>
      </c>
      <c r="X174" s="1" t="str">
        <f t="shared" si="11"/>
        <v xml:space="preserve">        &lt;!--My Leave Dashboard (IPPS-A) - https://hr.ippsa.army.mil/psc/hcpdc_newwin/EMPLOYEE/HRMS/c/IP_SS_PYE_ELM.IP_PYE_ELM_SRCH_FL.GBL --&gt;&lt;div class='column catAll catHuman' style='margin-bottom: 0px;' id='M27'&gt;&lt;a href='https://hr.ippsa.army.mil/psc/hcpdc_newwin/EMPLOYEE/HRMS/c/IP_SS_PYE_ELM.IP_PYE_ELM_SRCH_FL.GBL' rel='noopener noreferrer' class='column hideMarquee'&gt;&lt;div class='armyCardContainer card'&gt;&lt;div class='armyCard'&gt;&lt;div&gt;&lt;p class='marquee'&gt;My Leave Dashboard is IPPS-A's answer to submitting leave online. &lt;/p&gt;&lt;img src='assets/CaCRequired.png' title='A CAC is required to use some or all features of this site!' Class='cacLocked'&gt;&lt;img src='assets/Card-049.png' class='cardImage' loading='lazy'&gt;&lt;/div&gt;&lt;div class='title'&gt;
          &lt;span&gt;My Leave Dashboard (IPPS-A)&lt;/span&gt;&lt;/div&gt;&lt;/div&gt;&lt;/div&gt;&lt;/a&gt;&lt;/div&gt;&lt;script&gt;var jsM27 = document.getElementById('M27').innerHTML;&lt;/script&gt;</v>
      </c>
      <c r="Y17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Leave Dashboard (IPPS-A) - https://hr.ippsa.army.mil/psc/hcpdc_newwin/EMPLOYEE/HRMS/c/IP_SS_PYE_ELM.IP_PYE_ELM_SRCH_FL.GBL --&gt;
      &lt;summary&gt;• &lt;a href='https://hr.ippsa.army.mil/psc/hcpdc_newwin/EMPLOYEE/HRMS/c/IP_SS_PYE_ELM.IP_PYE_ELM_SRCH_FL.GBL' rel='noopener noreferrer'&gt;My Leave Dashboard (IPPS-A) - https://hr.ippsa.army.mil/psc/hcpdc_newwin/EMPLOYEE/HRMS/c/IP_SS_PYE_ELM.IP_PYE_ELM_SRCH_FL.GBL&lt;/a&gt;&lt;/summary&gt;
      &lt;p&gt;My Leave Dashboard is IPPS-A's answer to submitting leave online. &lt;/p&gt;
    &lt;/details&gt;</v>
      </c>
      <c r="Z174" s="1" t="str">
        <f t="shared" si="8"/>
        <v xml:space="preserve">          &lt;!-- My Leave Dashboard&lt;br&gt;(IPPS-A) - https://hr.ippsa.army.mil/psc/hcpdc_newwin/EMPLOYEE/HRMS/c/IP_SS_PYE_ELM.IP_PYE_ELM_SRCH_FL.GBL --&gt;&lt;div id='dragM27' class='catAll catHuman'&gt;&lt;div class='column hideMarquee' draggable='true' ondragstart='drag(event)' value='M27' id='M27'&gt;&lt;div class='armyCardContainer ssCard'&gt;&lt;div class='ssArmyCard'&gt;&lt;div&gt;&lt;p class='marquee'&gt;My Leave Dashboard is IPPS-A's answer to submitting leave online. &lt;/p&gt;&lt;img src='assets/Card-049.png' class='ssCardImage' draggable='false' loading='lazy'&gt;&lt;/div&gt;&lt;div class='ssTitle'&gt;&lt;span id='M27Title'&gt;My Leave Dashboard (IPPS-A)&lt;/span&gt;&lt;/div&gt;&lt;/div&gt;&lt;/div&gt;&lt;/div&gt;&lt;/div&gt;&lt;script&gt;var jsM27 = document.getElementById('dragM27').innerHTML;&lt;/script&gt;</v>
      </c>
      <c r="AA174" s="1" t="str">
        <f>CONCATENATE("var js",Table1[[#This Row],[IDs]]," = document.getElementbyId('drag",Table1[[#This Row],[IDs]],"').innerHTML; //  ",Table1[[#This Row],[Site]])</f>
        <v>var jsM27 = document.getElementbyId('dragM27').innerHTML; //  My Leave Dashboard (IPPS-A)</v>
      </c>
    </row>
    <row r="175" spans="1:27" ht="15" x14ac:dyDescent="0.25">
      <c r="A175" t="s">
        <v>285</v>
      </c>
      <c r="B175" t="s">
        <v>285</v>
      </c>
      <c r="C175" s="1" t="s">
        <v>286</v>
      </c>
      <c r="D175" t="s">
        <v>772</v>
      </c>
      <c r="E175" t="s">
        <v>771</v>
      </c>
      <c r="F175" s="1" t="s">
        <v>290</v>
      </c>
      <c r="G175" s="1" t="s">
        <v>552</v>
      </c>
      <c r="H175" s="1" t="s">
        <v>552</v>
      </c>
      <c r="N175" s="1" t="s">
        <v>18</v>
      </c>
      <c r="W175" s="3" t="str">
        <f>CONCATENATE("var js",Table1[[#This Row],[IDs]]," = document.getElementbyId('",Table1[[#This Row],[IDs]],"').innerHTML; //  ",Table1[[#This Row],[Site]])</f>
        <v>var jsM17 = document.getElementbyId('M17').innerHTML; //  My MEDPROS Medical Readiness Portal</v>
      </c>
      <c r="X175" s="1" t="str">
        <f t="shared" si="11"/>
        <v xml:space="preserve">        &lt;!--My MEDPROS Medical Readiness Portal - https://medpros.mods.army.mil/portal --&gt;&lt;div class='column catAll catHealth' style='margin-bottom: 0px;' id='M17'&gt;&lt;a href='https://medpros.mods.army.mil/portal' rel='noopener noreferrer' class='column hideMarquee'&gt;&lt;div class='armyCardContainer card'&gt;&lt;div class='armyCard'&gt;&lt;div&gt;&lt;p class='marquee'&gt;MEDPROS is the Army's automated database designed to meet Department of Defense requirements in maintaining unit and individual medical readiness. It is designed to provide commanders with a real-time, world-wide operational system to manage the medical readiness and deployability of their unit.&lt;/p&gt;&lt;img src='assets/CaCRequired.png' title='A CAC is required to use some or all features of this site!' Class='cacLocked'&gt;&lt;img src='assets/DODlock.png' title='This Site requires a DoD network connection to be used!' Class='dodLocked'&gt;&lt;img src='assets/Card-006.png' class='cardImage' loading='lazy'&gt;&lt;/div&gt;&lt;div class='title'&gt;
          &lt;span&gt;My MEDPROS Medical Readiness Portal&lt;/span&gt;&lt;/div&gt;&lt;/div&gt;&lt;/div&gt;&lt;/a&gt;&lt;/div&gt;&lt;script&gt;var jsM17 = document.getElementById('M17').innerHTML;&lt;/script&gt;</v>
      </c>
      <c r="Y17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MEDPROS Medical Readiness Portal - https://medpros.mods.army.mil/portal --&gt;
      &lt;summary&gt;• &lt;a href='https://medpros.mods.army.mil/portal' rel='noopener noreferrer'&gt;My MEDPROS Medical Readiness Portal - https://medpros.mods.army.mil/portal&lt;/a&gt;&lt;/summary&gt;
      &lt;p&gt;MEDPROS is the Army's automated database designed to meet Department of Defense requirements in maintaining unit and individual medical readiness. It is designed to provide commanders with a real-time, world-wide operational system to manage the medical readiness and deployability of their unit.&lt;/p&gt;
    &lt;/details&gt;</v>
      </c>
      <c r="Z175" s="1" t="str">
        <f t="shared" si="8"/>
        <v xml:space="preserve">          &lt;!-- My MEDPROS Medical Readiness Portal - https://medpros.mods.army.mil/portal --&gt;&lt;div id='dragM17' class='catAll catHealth'&gt;&lt;div class='column hideMarquee' draggable='true' ondragstart='drag(event)' value='M17' id='M17'&gt;&lt;div class='armyCardContainer ssCard'&gt;&lt;div class='ssArmyCard'&gt;&lt;div&gt;&lt;p class='marquee'&gt;MEDPROS is the Army's automated database designed to meet Department of Defense requirements in maintaining unit and individual medical readiness. It is designed to provide commanders with a real-time, world-wide operational system to manage the medical readiness and deployability of their unit.&lt;/p&gt;&lt;img src='assets/Card-006.png' class='ssCardImage' draggable='false' loading='lazy'&gt;&lt;/div&gt;&lt;div class='ssTitle'&gt;&lt;span id='M17Title'&gt;My MEDPROS Medical Readiness Portal&lt;/span&gt;&lt;/div&gt;&lt;/div&gt;&lt;/div&gt;&lt;/div&gt;&lt;/div&gt;&lt;script&gt;var jsM17 = document.getElementById('dragM17').innerHTML;&lt;/script&gt;</v>
      </c>
      <c r="AA175" s="1" t="str">
        <f>CONCATENATE("var js",Table1[[#This Row],[IDs]]," = document.getElementbyId('drag",Table1[[#This Row],[IDs]],"').innerHTML; //  ",Table1[[#This Row],[Site]])</f>
        <v>var jsM17 = document.getElementbyId('dragM17').innerHTML; //  My MEDPROS Medical Readiness Portal</v>
      </c>
    </row>
    <row r="176" spans="1:27" ht="15" x14ac:dyDescent="0.25">
      <c r="A176" t="s">
        <v>288</v>
      </c>
      <c r="B176" t="s">
        <v>288</v>
      </c>
      <c r="C176" s="1" t="s">
        <v>289</v>
      </c>
      <c r="D176" t="s">
        <v>799</v>
      </c>
      <c r="E176" t="s">
        <v>798</v>
      </c>
      <c r="F176" s="1" t="s">
        <v>293</v>
      </c>
      <c r="G176" s="1" t="s">
        <v>552</v>
      </c>
      <c r="H176" s="1" t="s">
        <v>552</v>
      </c>
      <c r="I176" s="1" t="s">
        <v>18</v>
      </c>
      <c r="O176" s="1" t="s">
        <v>18</v>
      </c>
      <c r="W176" s="3" t="str">
        <f>CONCATENATE("var js",Table1[[#This Row],[IDs]]," = document.getElementbyId('",Table1[[#This Row],[IDs]],"').innerHTML; //  ",Table1[[#This Row],[Site]])</f>
        <v>var jsM18 = document.getElementbyId('M18').innerHTML; //  MY Officer Record Brief (ORB)</v>
      </c>
      <c r="X176" s="1" t="str">
        <f t="shared" si="11"/>
        <v xml:space="preserve">        &lt;!--MY Officer Record Brief (ORB) - https://myorb.hrc.army.mil/ --&gt;&lt;div class='column catAll catArmySites catHuman' style='margin-bottom: 0px;' id='M18'&gt;&lt;a href='https://myorb.hrc.army.mil/' rel='noopener noreferrer' class='column hideMarquee'&gt;&lt;div class='armyCardContainer card'&gt;&lt;div class='armyCard'&gt;&lt;div&gt;&lt;p class='marquee'&gt;The Soldier Record Brief (SRB/ORB/ERB) is a new multi‐Component report that provides a snapshot of a Soldier's military career information. It details a Soldiers career in the military by listing all courses taken, duty stations, ASVAB scores and much more!&lt;/p&gt;&lt;img src='assets/CaCRequired.png' title='A CAC is required to use some or all features of this site!' Class='cacLocked'&gt;&lt;img src='assets/DODlock.png' title='This Site requires a DoD network connection to be used!' Class='dodLocked'&gt;&lt;img src='assets/Card-081.jpeg' class='cardImage' loading='lazy'&gt;&lt;/div&gt;&lt;div class='title'&gt;
          &lt;span&gt;MY Officer Record Brief (ORB)&lt;/span&gt;&lt;/div&gt;&lt;/div&gt;&lt;/div&gt;&lt;/a&gt;&lt;/div&gt;&lt;script&gt;var jsM18 = document.getElementById('M18').innerHTML;&lt;/script&gt;</v>
      </c>
      <c r="Y17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Officer Record Brief (ORB) - https://myorb.hrc.army.mil/ --&gt;
      &lt;summary&gt;• &lt;a href='https://myorb.hrc.army.mil/' rel='noopener noreferrer'&gt;MY Officer Record Brief (ORB) - https://myorb.hrc.army.mil/&lt;/a&gt;&lt;/summary&gt;
      &lt;p&gt;The Soldier Record Brief (SRB/ORB/ERB) is a new multi‐Component report that provides a snapshot of a Soldier's military career information. It details a Soldiers career in the military by listing all courses taken, duty stations, ASVAB scores and much more!&lt;/p&gt;
    &lt;/details&gt;</v>
      </c>
      <c r="Z176" s="1" t="str">
        <f t="shared" si="8"/>
        <v xml:space="preserve">          &lt;!-- MY Officer Record Brief (ORB) - https://myorb.hrc.army.mil/ --&gt;&lt;div id='dragM18' class='catAll catArmySites catHuman'&gt;&lt;div class='column hideMarquee' draggable='true' ondragstart='drag(event)' value='M18' id='M18'&gt;&lt;div class='armyCardContainer ssCard'&gt;&lt;div class='ssArmyCard'&gt;&lt;div&gt;&lt;p class='marquee'&gt;The Soldier Record Brief (SRB/ORB/ERB) is a new multi‐Component report that provides a snapshot of a Soldier's military career information. It details a Soldiers career in the military by listing all courses taken, duty stations, ASVAB scores and much more!&lt;/p&gt;&lt;img src='assets/Card-081.jpeg' class='ssCardImage' draggable='false' loading='lazy'&gt;&lt;/div&gt;&lt;div class='ssTitle'&gt;&lt;span id='M18Title'&gt;MY Officer Record Brief (ORB)&lt;/span&gt;&lt;/div&gt;&lt;/div&gt;&lt;/div&gt;&lt;/div&gt;&lt;/div&gt;&lt;script&gt;var jsM18 = document.getElementById('dragM18').innerHTML;&lt;/script&gt;</v>
      </c>
      <c r="AA176" s="1" t="str">
        <f>CONCATENATE("var js",Table1[[#This Row],[IDs]]," = document.getElementbyId('drag",Table1[[#This Row],[IDs]],"').innerHTML; //  ",Table1[[#This Row],[Site]])</f>
        <v>var jsM18 = document.getElementbyId('dragM18').innerHTML; //  MY Officer Record Brief (ORB)</v>
      </c>
    </row>
    <row r="177" spans="1:27" ht="15" x14ac:dyDescent="0.25">
      <c r="A177" s="1" t="s">
        <v>1029</v>
      </c>
      <c r="B177" t="s">
        <v>959</v>
      </c>
      <c r="C177" s="12" t="s">
        <v>547</v>
      </c>
      <c r="D177" t="s">
        <v>746</v>
      </c>
      <c r="E177" s="1" t="s">
        <v>986</v>
      </c>
      <c r="F177" s="1" t="s">
        <v>1020</v>
      </c>
      <c r="G177" s="1" t="s">
        <v>900</v>
      </c>
      <c r="H177" s="1" t="s">
        <v>552</v>
      </c>
      <c r="N177" s="1" t="s">
        <v>18</v>
      </c>
      <c r="O177" s="1" t="s">
        <v>18</v>
      </c>
      <c r="W177" s="3" t="str">
        <f>CONCATENATE("var js",Table1[[#This Row],[IDs]]," = document.getElementbyId('",Table1[[#This Row],[IDs]],"').innerHTML; //  ",Table1[[#This Row],[Site]])</f>
        <v>var jsM28 = document.getElementbyId('M28').innerHTML; //  My Physical Profile (IPPS-A)</v>
      </c>
      <c r="X177" s="1" t="str">
        <f t="shared" si="11"/>
        <v xml:space="preserve">        &lt;!--My Physical Profile (IPPS-A) - https://hr.ippsa.army.mil/psc/hcpdc/EMPLOYEE/HRMS/c/IP_PHYSICAL_PROFILE.IP_PP_PHYSICAL_FL.GBL --&gt;&lt;div class='column catAll catHealth catHuman' style='margin-bottom: 0px;' id='M28'&gt;&lt;a href='https://hr.ippsa.army.mil/psc/hcpdc/EMPLOYEE/HRMS/c/IP_PHYSICAL_PROFILE.IP_PP_PHYSICAL_FL.GBL' rel='noopener noreferrer' class='column hideMarquee'&gt;&lt;div class='armyCardContainer card'&gt;&lt;div class='armyCard'&gt;&lt;div&gt;&lt;p class='marquee'&gt;My Physical Profile allows soldier to view their current profile online.&lt;/p&gt;&lt;img src='assets/CaCRequired.png' title='A CAC is required to use some or all features of this site!' Class='cacLocked'&gt;&lt;img src='assets/Card-049.png' class='cardImage' loading='lazy'&gt;&lt;/div&gt;&lt;div class='title'&gt;
          &lt;span&gt;My Physical Profile (IPPS-A)&lt;/span&gt;&lt;/div&gt;&lt;/div&gt;&lt;/div&gt;&lt;/a&gt;&lt;/div&gt;&lt;script&gt;var jsM28 = document.getElementById('M28').innerHTML;&lt;/script&gt;</v>
      </c>
      <c r="Y17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Physical Profile (IPPS-A) - https://hr.ippsa.army.mil/psc/hcpdc/EMPLOYEE/HRMS/c/IP_PHYSICAL_PROFILE.IP_PP_PHYSICAL_FL.GBL --&gt;
      &lt;summary&gt;• &lt;a href='https://hr.ippsa.army.mil/psc/hcpdc/EMPLOYEE/HRMS/c/IP_PHYSICAL_PROFILE.IP_PP_PHYSICAL_FL.GBL' rel='noopener noreferrer'&gt;My Physical Profile (IPPS-A) - https://hr.ippsa.army.mil/psc/hcpdc/EMPLOYEE/HRMS/c/IP_PHYSICAL_PROFILE.IP_PP_PHYSICAL_FL.GBL&lt;/a&gt;&lt;/summary&gt;
      &lt;p&gt;My Physical Profile allows soldier to view their current profile online.&lt;/p&gt;
    &lt;/details&gt;</v>
      </c>
      <c r="Z177" s="1" t="str">
        <f t="shared" si="8"/>
        <v xml:space="preserve">          &lt;!-- My Physical Profile&lt;br&gt;(IPPS-A) - https://hr.ippsa.army.mil/psc/hcpdc/EMPLOYEE/HRMS/c/IP_PHYSICAL_PROFILE.IP_PP_PHYSICAL_FL.GBL --&gt;&lt;div id='dragM28' class='catAll catHealth catHuman'&gt;&lt;div class='column hideMarquee' draggable='true' ondragstart='drag(event)' value='M28' id='M28'&gt;&lt;div class='armyCardContainer ssCard'&gt;&lt;div class='ssArmyCard'&gt;&lt;div&gt;&lt;p class='marquee'&gt;My Physical Profile allows soldier to view their current profile online.&lt;/p&gt;&lt;img src='assets/Card-049.png' class='ssCardImage' draggable='false' loading='lazy'&gt;&lt;/div&gt;&lt;div class='ssTitle'&gt;&lt;span id='M28Title'&gt;My Physical Profile (IPPS-A)&lt;/span&gt;&lt;/div&gt;&lt;/div&gt;&lt;/div&gt;&lt;/div&gt;&lt;/div&gt;&lt;script&gt;var jsM28 = document.getElementById('dragM28').innerHTML;&lt;/script&gt;</v>
      </c>
      <c r="AA177" s="1" t="str">
        <f>CONCATENATE("var js",Table1[[#This Row],[IDs]]," = document.getElementbyId('drag",Table1[[#This Row],[IDs]],"').innerHTML; //  ",Table1[[#This Row],[Site]])</f>
        <v>var jsM28 = document.getElementbyId('dragM28').innerHTML; //  My Physical Profile (IPPS-A)</v>
      </c>
    </row>
    <row r="178" spans="1:27" ht="15" x14ac:dyDescent="0.25">
      <c r="A178" t="s">
        <v>291</v>
      </c>
      <c r="B178" t="s">
        <v>291</v>
      </c>
      <c r="C178" s="2" t="s">
        <v>292</v>
      </c>
      <c r="D178" t="s">
        <v>802</v>
      </c>
      <c r="E178" t="s">
        <v>801</v>
      </c>
      <c r="F178" s="2" t="s">
        <v>296</v>
      </c>
      <c r="G178" s="2" t="s">
        <v>552</v>
      </c>
      <c r="H178" s="2" t="s">
        <v>552</v>
      </c>
      <c r="I178" s="2" t="s">
        <v>18</v>
      </c>
      <c r="J178" s="2"/>
      <c r="K178" s="2"/>
      <c r="L178" s="2"/>
      <c r="M178" s="2"/>
      <c r="N178" s="2"/>
      <c r="O178" s="2" t="s">
        <v>18</v>
      </c>
      <c r="P178" s="2"/>
      <c r="Q178" s="2"/>
      <c r="R178" s="2"/>
      <c r="S178" s="2"/>
      <c r="T178" s="2"/>
      <c r="U178" s="2"/>
      <c r="V178" s="2"/>
      <c r="W178" s="3" t="str">
        <f>CONCATENATE("var js",Table1[[#This Row],[IDs]]," = document.getElementbyId('",Table1[[#This Row],[IDs]],"').innerHTML; //  ",Table1[[#This Row],[Site]])</f>
        <v>var jsM19 = document.getElementbyId('M19').innerHTML; //  MY RFO (Request for Orders)</v>
      </c>
      <c r="X178" s="1" t="str">
        <f t="shared" si="11"/>
        <v xml:space="preserve">        &lt;!--MY RFO (Request for Orders) - https://aim.hrc.army.mil/ --&gt;&lt;div class='column catAll catArmySites catHuman' style='margin-bottom: 0px;' id='M19'&gt;&lt;a href='https://aim.hrc.army.mil/' rel='noopener noreferrer' class='column hideMarquee'&gt;&lt;div class='armyCardContainer card'&gt;&lt;div class='armyCard'&gt;&lt;div&gt;&lt;p class='marquee'&gt;Assignment Interactive Module 2.0 (AIM 2) is a web based information system designed to enhance the effectiveness and efficiency of the officer management process, and facilitate communication between Soldiers (e.g. officers &amp; warrant officers with talents), Units (e.g. commanders with requirements) and the Officer Personnel Management Directorate (OPMD)&lt;/p&gt;&lt;img src='assets/CaCRequired.png' title='A CAC is required to use some or all features of this site!' Class='cacLocked'&gt;&lt;img src='assets/DODlock.png' title='This Site requires a DoD network connection to be used!' Class='dodLocked'&gt;&lt;img src='assets/Card-025.jpeg' class='cardImage' loading='lazy'&gt;&lt;/div&gt;&lt;div class='title'&gt;
          &lt;span&gt;MY RFO (Request for Orders)&lt;/span&gt;&lt;/div&gt;&lt;/div&gt;&lt;/div&gt;&lt;/a&gt;&lt;/div&gt;&lt;script&gt;var jsM19 = document.getElementById('M19').innerHTML;&lt;/script&gt;</v>
      </c>
      <c r="Y17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RFO (Request for Orders) - https://aim.hrc.army.mil/ --&gt;
      &lt;summary&gt;• &lt;a href='https://aim.hrc.army.mil/' rel='noopener noreferrer'&gt;MY RFO (Request for Orders) - https://aim.hrc.army.mil/&lt;/a&gt;&lt;/summary&gt;
      &lt;p&gt;Assignment Interactive Module 2.0 (AIM 2) is a web based information system designed to enhance the effectiveness and efficiency of the officer management process, and facilitate communication between Soldiers (e.g. officers &amp; warrant officers with talents), Units (e.g. commanders with requirements) and the Officer Personnel Management Directorate (OPMD)&lt;/p&gt;
    &lt;/details&gt;</v>
      </c>
      <c r="Z178" s="1" t="str">
        <f t="shared" si="8"/>
        <v xml:space="preserve">          &lt;!-- MY RFO (Request for Orders) - https://aim.hrc.army.mil/ --&gt;&lt;div id='dragM19' class='catAll catArmySites catHuman'&gt;&lt;div class='column hideMarquee' draggable='true' ondragstart='drag(event)' value='M19' id='M19'&gt;&lt;div class='armyCardContainer ssCard'&gt;&lt;div class='ssArmyCard'&gt;&lt;div&gt;&lt;p class='marquee'&gt;Assignment Interactive Module 2.0 (AIM 2) is a web based information system designed to enhance the effectiveness and efficiency of the officer management process, and facilitate communication between Soldiers (e.g. officers &amp; warrant officers with talents), Units (e.g. commanders with requirements) and the Officer Personnel Management Directorate (OPMD)&lt;/p&gt;&lt;img src='assets/Card-025.jpeg' class='ssCardImage' draggable='false' loading='lazy'&gt;&lt;/div&gt;&lt;div class='ssTitle'&gt;&lt;span id='M19Title'&gt;MY RFO (Request for Orders)&lt;/span&gt;&lt;/div&gt;&lt;/div&gt;&lt;/div&gt;&lt;/div&gt;&lt;/div&gt;&lt;script&gt;var jsM19 = document.getElementById('dragM19').innerHTML;&lt;/script&gt;</v>
      </c>
      <c r="AA178" s="1" t="str">
        <f>CONCATENATE("var js",Table1[[#This Row],[IDs]]," = document.getElementbyId('drag",Table1[[#This Row],[IDs]],"').innerHTML; //  ",Table1[[#This Row],[Site]])</f>
        <v>var jsM19 = document.getElementbyId('dragM19').innerHTML; //  MY RFO (Request for Orders)</v>
      </c>
    </row>
    <row r="179" spans="1:27" ht="15" x14ac:dyDescent="0.25">
      <c r="A179" s="1" t="s">
        <v>1030</v>
      </c>
      <c r="B179" t="s">
        <v>958</v>
      </c>
      <c r="C179" s="12" t="s">
        <v>546</v>
      </c>
      <c r="D179" t="s">
        <v>746</v>
      </c>
      <c r="E179" s="1" t="s">
        <v>989</v>
      </c>
      <c r="F179" s="1" t="s">
        <v>1021</v>
      </c>
      <c r="G179" s="1" t="s">
        <v>900</v>
      </c>
      <c r="H179" s="1" t="s">
        <v>552</v>
      </c>
      <c r="O179" s="1" t="s">
        <v>18</v>
      </c>
      <c r="Q179" s="1" t="s">
        <v>18</v>
      </c>
      <c r="W179" s="3" t="str">
        <f>CONCATENATE("var js",Table1[[#This Row],[IDs]]," = document.getElementbyId('",Table1[[#This Row],[IDs]],"').innerHTML; //  ",Table1[[#This Row],[Site]])</f>
        <v>var jsM29 = document.getElementbyId('M29').innerHTML; //  My Soldier Talent Profile (IPPS-A)</v>
      </c>
      <c r="X179" s="1" t="str">
        <f t="shared" si="11"/>
        <v xml:space="preserve">        &lt;!--My Soldier Talent Profile (IPPS-A) - https://hr.ippsa.army.mil/bi/stp/self --&gt;&lt;div class='column catAll catHuman catProDev' style='margin-bottom: 0px;' id='M29'&gt;&lt;a href='https://hr.ippsa.army.mil/bi/stp/self' rel='noopener noreferrer' class='column hideMarquee'&gt;&lt;div class='armyCardContainer card'&gt;&lt;div class='armyCard'&gt;&lt;div&gt;&lt;p class='marquee'&gt;The Soldier Talent Profile is the IPPS-A SRB. It provides a new multi‐Component report that provides a snapshot of a Soldier's military career information. It details a Soldiers career in the military by listing all courses taken, duty stations, ASVAB scores and much more!&lt;/p&gt;&lt;img src='assets/CaCRequired.png' title='A CAC is required to use some or all features of this site!' Class='cacLocked'&gt;&lt;img src='assets/Card-049.png' class='cardImage' loading='lazy'&gt;&lt;/div&gt;&lt;div class='title'&gt;
          &lt;span&gt;My Soldier Talent Profile (IPPS-A)&lt;/span&gt;&lt;/div&gt;&lt;/div&gt;&lt;/div&gt;&lt;/a&gt;&lt;/div&gt;&lt;script&gt;var jsM29 = document.getElementById('M29').innerHTML;&lt;/script&gt;</v>
      </c>
      <c r="Y17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Soldier Talent Profile (IPPS-A) - https://hr.ippsa.army.mil/bi/stp/self --&gt;
      &lt;summary&gt;• &lt;a href='https://hr.ippsa.army.mil/bi/stp/self' rel='noopener noreferrer'&gt;My Soldier Talent Profile (IPPS-A) - https://hr.ippsa.army.mil/bi/stp/self&lt;/a&gt;&lt;/summary&gt;
      &lt;p&gt;The Soldier Talent Profile is the IPPS-A SRB. It provides a new multi‐Component report that provides a snapshot of a Soldier's military career information. It details a Soldiers career in the military by listing all courses taken, duty stations, ASVAB scores and much more!&lt;/p&gt;
    &lt;/details&gt;</v>
      </c>
      <c r="Z179" s="1" t="str">
        <f t="shared" si="8"/>
        <v xml:space="preserve">          &lt;!-- My Soldier Talent Profile&lt;br&gt;(IPPS-A) - https://hr.ippsa.army.mil/bi/stp/self --&gt;&lt;div id='dragM29' class='catAll catHuman catProDev'&gt;&lt;div class='column hideMarquee' draggable='true' ondragstart='drag(event)' value='M29' id='M29'&gt;&lt;div class='armyCardContainer ssCard'&gt;&lt;div class='ssArmyCard'&gt;&lt;div&gt;&lt;p class='marquee'&gt;The Soldier Talent Profile is the IPPS-A SRB. It provides a new multi‐Component report that provides a snapshot of a Soldier's military career information. It details a Soldiers career in the military by listing all courses taken, duty stations, ASVAB scores and much more!&lt;/p&gt;&lt;img src='assets/Card-049.png' class='ssCardImage' draggable='false' loading='lazy'&gt;&lt;/div&gt;&lt;div class='ssTitle'&gt;&lt;span id='M29Title'&gt;My Soldier Talent Profile (IPPS-A)&lt;/span&gt;&lt;/div&gt;&lt;/div&gt;&lt;/div&gt;&lt;/div&gt;&lt;/div&gt;&lt;script&gt;var jsM29 = document.getElementById('dragM29').innerHTML;&lt;/script&gt;</v>
      </c>
      <c r="AA179" s="1" t="str">
        <f>CONCATENATE("var js",Table1[[#This Row],[IDs]]," = document.getElementbyId('drag",Table1[[#This Row],[IDs]],"').innerHTML; //  ",Table1[[#This Row],[Site]])</f>
        <v>var jsM29 = document.getElementbyId('dragM29').innerHTML; //  My Soldier Talent Profile (IPPS-A)</v>
      </c>
    </row>
    <row r="180" spans="1:27" ht="15" x14ac:dyDescent="0.25">
      <c r="A180" t="s">
        <v>294</v>
      </c>
      <c r="B180" t="s">
        <v>294</v>
      </c>
      <c r="C180" s="12" t="s">
        <v>295</v>
      </c>
      <c r="D180" t="s">
        <v>804</v>
      </c>
      <c r="E180" t="s">
        <v>803</v>
      </c>
      <c r="F180" s="1" t="s">
        <v>400</v>
      </c>
      <c r="G180" s="1" t="s">
        <v>900</v>
      </c>
      <c r="H180" s="1" t="s">
        <v>552</v>
      </c>
      <c r="S180" s="1" t="s">
        <v>18</v>
      </c>
      <c r="W180" s="3" t="str">
        <f>CONCATENATE("var js",Table1[[#This Row],[IDs]]," = document.getElementbyId('",Table1[[#This Row],[IDs]],"').innerHTML; //  ",Table1[[#This Row],[Site]])</f>
        <v>var jsM20 = document.getElementbyId('M20').innerHTML; //  My Training Tab</v>
      </c>
      <c r="X180" s="1" t="str">
        <f t="shared" si="11"/>
        <v xml:space="preserve">        &lt;!--My Training Tab - https://atiam.train.army.mil/mthp/ --&gt;&lt;div class='column catAll catMilEd' style='margin-bottom: 0px;' id='M20'&gt;&lt;a href='https://atiam.train.army.mil/mthp/' rel='noopener noreferrer' class='column hideMarquee'&gt;&lt;div class='armyCardContainer card'&gt;&lt;div class='armyCard'&gt;&lt;div&gt;&lt;p class='marquee'&gt;My Training Tab (MT2) original available to users at Army Knowledge Online (AKO) , pulls together all web-based training resources on a single, customizable page. Still functional after AKOs was taken down.&lt;/p&gt;&lt;img src='assets/CaCRequired.png' title='A CAC is required to use some or all features of this site!' Class='cacLocked'&gt;&lt;img src='assets/Card-042.png' class='cardImage' loading='lazy'&gt;&lt;/div&gt;&lt;div class='title'&gt;
          &lt;span&gt;My Training Tab&lt;/span&gt;&lt;/div&gt;&lt;/div&gt;&lt;/div&gt;&lt;/a&gt;&lt;/div&gt;&lt;script&gt;var jsM20 = document.getElementById('M20').innerHTML;&lt;/script&gt;</v>
      </c>
      <c r="Y18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Training Tab - https://atiam.train.army.mil/mthp/ --&gt;
      &lt;summary&gt;• &lt;a href='https://atiam.train.army.mil/mthp/' rel='noopener noreferrer'&gt;My Training Tab - https://atiam.train.army.mil/mthp/&lt;/a&gt;&lt;/summary&gt;
      &lt;p&gt;My Training Tab (MT2) original available to users at Army Knowledge Online (AKO) , pulls together all web-based training resources on a single, customizable page. Still functional after AKOs was taken down.&lt;/p&gt;
    &lt;/details&gt;</v>
      </c>
      <c r="Z180" s="1" t="str">
        <f t="shared" si="8"/>
        <v xml:space="preserve">          &lt;!-- My Training Tab - https://atiam.train.army.mil/mthp/ --&gt;&lt;div id='dragM20' class='catAll catMilEd'&gt;&lt;div class='column hideMarquee' draggable='true' ondragstart='drag(event)' value='M20' id='M20'&gt;&lt;div class='armyCardContainer ssCard'&gt;&lt;div class='ssArmyCard'&gt;&lt;div&gt;&lt;p class='marquee'&gt;My Training Tab (MT2) original available to users at Army Knowledge Online (AKO) , pulls together all web-based training resources on a single, customizable page. Still functional after AKOs was taken down.&lt;/p&gt;&lt;img src='assets/Card-042.png' class='ssCardImage' draggable='false' loading='lazy'&gt;&lt;/div&gt;&lt;div class='ssTitle'&gt;&lt;span id='M20Title'&gt;My Training Tab&lt;/span&gt;&lt;/div&gt;&lt;/div&gt;&lt;/div&gt;&lt;/div&gt;&lt;/div&gt;&lt;script&gt;var jsM20 = document.getElementById('dragM20').innerHTML;&lt;/script&gt;</v>
      </c>
      <c r="AA180" s="1" t="str">
        <f>CONCATENATE("var js",Table1[[#This Row],[IDs]]," = document.getElementbyId('drag",Table1[[#This Row],[IDs]],"').innerHTML; //  ",Table1[[#This Row],[Site]])</f>
        <v>var jsM20 = document.getElementbyId('dragM20').innerHTML; //  My Training Tab</v>
      </c>
    </row>
    <row r="181" spans="1:27" ht="15" x14ac:dyDescent="0.25">
      <c r="A181" t="s">
        <v>433</v>
      </c>
      <c r="B181" t="s">
        <v>433</v>
      </c>
      <c r="C181" s="1" t="s">
        <v>419</v>
      </c>
      <c r="D181" t="s">
        <v>772</v>
      </c>
      <c r="E181" t="s">
        <v>800</v>
      </c>
      <c r="F181" s="1" t="s">
        <v>422</v>
      </c>
      <c r="G181" s="1" t="s">
        <v>900</v>
      </c>
      <c r="H181" s="1" t="s">
        <v>552</v>
      </c>
      <c r="I181" s="1" t="s">
        <v>18</v>
      </c>
      <c r="N181" s="1" t="s">
        <v>18</v>
      </c>
      <c r="W181" s="3" t="str">
        <f>CONCATENATE("var js",Table1[[#This Row],[IDs]]," = document.getElementbyId('",Table1[[#This Row],[IDs]],"').innerHTML; //  ",Table1[[#This Row],[Site]])</f>
        <v>var jsM22 = document.getElementbyId('M22').innerHTML; //  MyMEB</v>
      </c>
      <c r="X181" s="1" t="str">
        <f t="shared" si="11"/>
        <v xml:space="preserve">        &lt;!--MyMEB - https://cms.mods.army.mil/cms/protected/report/soldierDashboard.aspx --&gt;&lt;div class='column catAll catArmySites catHealth' style='margin-bottom: 0px;' id='M22'&gt;&lt;a href='https://cms.mods.army.mil/cms/protected/report/soldierDashboard.aspx' rel='noopener noreferrer' class='column hideMarquee'&gt;&lt;div class='armyCardContainer card'&gt;&lt;div class='armyCard'&gt;&lt;div&gt;&lt;p class='marquee'&gt;MyMEB was developed by medical, information-management and administrative specialists to address a perceived need for Soldiers to know more about the MEB process and how it affects them.&lt;/p&gt;&lt;img src='assets/CaCRequired.png' title='A CAC is required to use some or all features of this site!' Class='cacLocked'&gt;&lt;img src='assets/Card-006.png' class='cardImage' loading='lazy'&gt;&lt;/div&gt;&lt;div class='title'&gt;
          &lt;span&gt;MyMEB&lt;/span&gt;&lt;/div&gt;&lt;/div&gt;&lt;/div&gt;&lt;/a&gt;&lt;/div&gt;&lt;script&gt;var jsM22 = document.getElementById('M22').innerHTML;&lt;/script&gt;</v>
      </c>
      <c r="Y18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MyMEB - https://cms.mods.army.mil/cms/protected/report/soldierDashboard.aspx --&gt;
      &lt;summary&gt;• &lt;a href='https://cms.mods.army.mil/cms/protected/report/soldierDashboard.aspx' rel='noopener noreferrer'&gt;MyMEB - https://cms.mods.army.mil/cms/protected/report/soldierDashboard.aspx&lt;/a&gt;&lt;/summary&gt;
      &lt;p&gt;MyMEB was developed by medical, information-management and administrative specialists to address a perceived need for Soldiers to know more about the MEB process and how it affects them.&lt;/p&gt;
    &lt;/details&gt;</v>
      </c>
      <c r="Z181" s="1" t="str">
        <f t="shared" si="8"/>
        <v xml:space="preserve">          &lt;!-- MyMEB - https://cms.mods.army.mil/cms/protected/report/soldierDashboard.aspx --&gt;&lt;div id='dragM22' class='catAll catArmySites catHealth'&gt;&lt;div class='column hideMarquee' draggable='true' ondragstart='drag(event)' value='M22' id='M22'&gt;&lt;div class='armyCardContainer ssCard'&gt;&lt;div class='ssArmyCard'&gt;&lt;div&gt;&lt;p class='marquee'&gt;MyMEB was developed by medical, information-management and administrative specialists to address a perceived need for Soldiers to know more about the MEB process and how it affects them.&lt;/p&gt;&lt;img src='assets/Card-006.png' class='ssCardImage' draggable='false' loading='lazy'&gt;&lt;/div&gt;&lt;div class='ssTitle'&gt;&lt;span id='M22Title'&gt;MyMEB&lt;/span&gt;&lt;/div&gt;&lt;/div&gt;&lt;/div&gt;&lt;/div&gt;&lt;/div&gt;&lt;script&gt;var jsM22 = document.getElementById('dragM22').innerHTML;&lt;/script&gt;</v>
      </c>
      <c r="AA181" s="1" t="str">
        <f>CONCATENATE("var js",Table1[[#This Row],[IDs]]," = document.getElementbyId('drag",Table1[[#This Row],[IDs]],"').innerHTML; //  ",Table1[[#This Row],[Site]])</f>
        <v>var jsM22 = document.getElementbyId('dragM22').innerHTML; //  MyMEB</v>
      </c>
    </row>
    <row r="182" spans="1:27" ht="15" x14ac:dyDescent="0.25">
      <c r="A182" t="s">
        <v>297</v>
      </c>
      <c r="B182" t="s">
        <v>297</v>
      </c>
      <c r="C182" s="1" t="s">
        <v>298</v>
      </c>
      <c r="D182" t="s">
        <v>806</v>
      </c>
      <c r="E182" t="s">
        <v>805</v>
      </c>
      <c r="F182" s="1" t="s">
        <v>401</v>
      </c>
      <c r="G182" s="1" t="s">
        <v>900</v>
      </c>
      <c r="H182" s="1" t="s">
        <v>552</v>
      </c>
      <c r="K182" s="1" t="s">
        <v>18</v>
      </c>
      <c r="M182" s="1" t="s">
        <v>18</v>
      </c>
      <c r="W182" s="3" t="str">
        <f>CONCATENATE("var js",Table1[[#This Row],[IDs]]," = document.getElementbyId('",Table1[[#This Row],[IDs]],"').innerHTML; //  ",Table1[[#This Row],[Site]])</f>
        <v>var jsM21 = document.getElementbyId('M21').innerHTML; //  MyPay</v>
      </c>
      <c r="X182" s="1" t="str">
        <f t="shared" si="11"/>
        <v xml:space="preserve">        &lt;!--MyPay - https://mypay.dfas.mil/mypay.aspx --&gt;&lt;div class='column catAll catDod catFinance' style='margin-bottom: 0px;' id='M21'&gt;&lt;a href='https://mypay.dfas.mil/mypay.aspx' rel='noopener noreferrer' class='column hideMarquee'&gt;&lt;div class='armyCardContainer card'&gt;&lt;div class='armyCard'&gt;&lt;div&gt;&lt;p class='marquee'&gt;The Defense Department's online payroll and accounting system, providing access to view one's pay account, view travel claims, make changes to withholding and allotments, and chance Thrift Savings Plan contributions.&lt;/p&gt;&lt;img src='assets/CaCRequired.png' title='A CAC is required to use some or all features of this site!' Class='cacLocked'&gt;&lt;img src='assets/Card-045.png' class='cardImage' loading='lazy'&gt;&lt;/div&gt;&lt;div class='title'&gt;
          &lt;span&gt;MyPay&lt;/span&gt;&lt;/div&gt;&lt;/div&gt;&lt;/div&gt;&lt;/a&gt;&lt;/div&gt;&lt;script&gt;var jsM21 = document.getElementById('M21').innerHTML;&lt;/script&gt;</v>
      </c>
      <c r="Y18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MyPay - https://mypay.dfas.mil/mypay.aspx --&gt;
      &lt;summary&gt;• &lt;a href='https://mypay.dfas.mil/mypay.aspx' rel='noopener noreferrer'&gt;MyPay - https://mypay.dfas.mil/mypay.aspx&lt;/a&gt;&lt;/summary&gt;
      &lt;p&gt;The Defense Department's online payroll and accounting system, providing access to view one's pay account, view travel claims, make changes to withholding and allotments, and chance Thrift Savings Plan contributions.&lt;/p&gt;
    &lt;/details&gt;</v>
      </c>
      <c r="Z182" s="1" t="str">
        <f t="shared" si="8"/>
        <v xml:space="preserve">          &lt;!-- MyPay - https://mypay.dfas.mil/mypay.aspx --&gt;&lt;div id='dragM21' class='catAll catDod catFinance'&gt;&lt;div class='column hideMarquee' draggable='true' ondragstart='drag(event)' value='M21' id='M21'&gt;&lt;div class='armyCardContainer ssCard'&gt;&lt;div class='ssArmyCard'&gt;&lt;div&gt;&lt;p class='marquee'&gt;The Defense Department's online payroll and accounting system, providing access to view one's pay account, view travel claims, make changes to withholding and allotments, and chance Thrift Savings Plan contributions.&lt;/p&gt;&lt;img src='assets/Card-045.png' class='ssCardImage' draggable='false' loading='lazy'&gt;&lt;/div&gt;&lt;div class='ssTitle'&gt;&lt;span id='M21Title'&gt;MyPay&lt;/span&gt;&lt;/div&gt;&lt;/div&gt;&lt;/div&gt;&lt;/div&gt;&lt;/div&gt;&lt;script&gt;var jsM21 = document.getElementById('dragM21').innerHTML;&lt;/script&gt;</v>
      </c>
      <c r="AA182" s="1" t="str">
        <f>CONCATENATE("var js",Table1[[#This Row],[IDs]]," = document.getElementbyId('drag",Table1[[#This Row],[IDs]],"').innerHTML; //  ",Table1[[#This Row],[Site]])</f>
        <v>var jsM21 = document.getElementbyId('dragM21').innerHTML; //  MyPay</v>
      </c>
    </row>
    <row r="183" spans="1:27" ht="15" x14ac:dyDescent="0.25">
      <c r="A183" t="s">
        <v>300</v>
      </c>
      <c r="B183" t="s">
        <v>300</v>
      </c>
      <c r="C183" s="11" t="s">
        <v>490</v>
      </c>
      <c r="D183" t="s">
        <v>808</v>
      </c>
      <c r="E183" t="s">
        <v>807</v>
      </c>
      <c r="F183" s="1" t="s">
        <v>301</v>
      </c>
      <c r="G183" s="1" t="s">
        <v>900</v>
      </c>
      <c r="H183" s="1" t="s">
        <v>900</v>
      </c>
      <c r="Q183" s="1" t="s">
        <v>18</v>
      </c>
      <c r="W183" s="3" t="str">
        <f>CONCATENATE("var js",Table1[[#This Row],[IDs]]," = document.getElementbyId('",Table1[[#This Row],[IDs]],"').innerHTML; //  ",Table1[[#This Row],[Site]])</f>
        <v>var jsN00 = document.getElementbyId('N00').innerHTML; //  NCO Leader Center for Excellence</v>
      </c>
      <c r="X183" s="1" t="str">
        <f t="shared" si="11"/>
        <v xml:space="preserve">        &lt;!--NCO Leader Center for Excellence - https://www.ncolcoe.army.mil/ --&gt;&lt;div class='column catAll catProDev' style='margin-bottom: 0px;' id='N00'&gt;&lt;a href='https://www.ncolcoe.army.mil/' rel='noopener noreferrer' class='column hideMarquee'&gt;&lt;div class='armyCardContainer card'&gt;&lt;div class='armyCard'&gt;&lt;div&gt;&lt;p class='marquee'&gt;NCO Leader Center for Excellence provides professional military education that develops holistically fit, disciplined, well-educated professionals capable of meeting the challenges of large-scale combat operations in a multi-domain environment.&lt;/p&gt;&lt;img src='assets/Card-003.jpg' class='cardImage' loading='lazy'&gt;&lt;/div&gt;&lt;div class='title'&gt;
          &lt;span&gt;NCO Leader Center for Excellence&lt;/span&gt;&lt;/div&gt;&lt;/div&gt;&lt;/div&gt;&lt;/a&gt;&lt;/div&gt;&lt;script&gt;var jsN00 = document.getElementById('N00').innerHTML;&lt;/script&gt;</v>
      </c>
      <c r="Y18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NCO Leader Center for Excellence - https://www.ncolcoe.army.mil/ --&gt;
      &lt;summary&gt;• &lt;a href='https://www.ncolcoe.army.mil/' rel='noopener noreferrer'&gt;NCO Leader Center for Excellence - https://www.ncolcoe.army.mil/&lt;/a&gt;&lt;/summary&gt;
      &lt;p&gt;NCO Leader Center for Excellence provides professional military education that develops holistically fit, disciplined, well-educated professionals capable of meeting the challenges of large-scale combat operations in a multi-domain environment.&lt;/p&gt;
    &lt;/details&gt;</v>
      </c>
      <c r="Z183" s="1" t="str">
        <f t="shared" si="8"/>
        <v xml:space="preserve">          &lt;!-- NCO Leader Center for Excellence - https://www.ncolcoe.army.mil/ --&gt;&lt;div id='dragN00' class='catAll catProDev'&gt;&lt;div class='column hideMarquee' draggable='true' ondragstart='drag(event)' value='N00' id='N00'&gt;&lt;div class='armyCardContainer ssCard'&gt;&lt;div class='ssArmyCard'&gt;&lt;div&gt;&lt;p class='marquee'&gt;NCO Leader Center for Excellence provides professional military education that develops holistically fit, disciplined, well-educated professionals capable of meeting the challenges of large-scale combat operations in a multi-domain environment.&lt;/p&gt;&lt;img src='assets/Card-003.jpg' class='ssCardImage' draggable='false' loading='lazy'&gt;&lt;/div&gt;&lt;div class='ssTitle'&gt;&lt;span id='N00Title'&gt;NCO Leader Center for Excellence&lt;/span&gt;&lt;/div&gt;&lt;/div&gt;&lt;/div&gt;&lt;/div&gt;&lt;/div&gt;&lt;script&gt;var jsN00 = document.getElementById('dragN00').innerHTML;&lt;/script&gt;</v>
      </c>
      <c r="AA183" s="1" t="str">
        <f>CONCATENATE("var js",Table1[[#This Row],[IDs]]," = document.getElementbyId('drag",Table1[[#This Row],[IDs]],"').innerHTML; //  ",Table1[[#This Row],[Site]])</f>
        <v>var jsN00 = document.getElementbyId('dragN00').innerHTML; //  NCO Leader Center for Excellence</v>
      </c>
    </row>
    <row r="184" spans="1:27" ht="15" x14ac:dyDescent="0.25">
      <c r="A184" t="s">
        <v>302</v>
      </c>
      <c r="B184" t="s">
        <v>302</v>
      </c>
      <c r="C184" s="12" t="s">
        <v>303</v>
      </c>
      <c r="D184" t="s">
        <v>811</v>
      </c>
      <c r="E184" t="s">
        <v>809</v>
      </c>
      <c r="F184" s="1" t="s">
        <v>397</v>
      </c>
      <c r="G184" s="1" t="s">
        <v>900</v>
      </c>
      <c r="H184" s="1" t="s">
        <v>900</v>
      </c>
      <c r="Q184" s="1" t="s">
        <v>18</v>
      </c>
      <c r="W184" s="3" t="str">
        <f>CONCATENATE("var js",Table1[[#This Row],[IDs]]," = document.getElementbyId('",Table1[[#This Row],[IDs]],"').innerHTML; //  ",Table1[[#This Row],[Site]])</f>
        <v>var jsN01 = document.getElementbyId('N01').innerHTML; //  NCO Worldwide</v>
      </c>
      <c r="X184" s="1" t="str">
        <f t="shared" si="11"/>
        <v xml:space="preserve">        &lt;!--NCO Worldwide - https://www.ncoworldwide.army.mil/ --&gt;&lt;div class='column catAll catProDev' style='margin-bottom: 0px;' id='N01'&gt;&lt;a href='https://www.ncoworldwide.army.mil/' rel='noopener noreferrer' class='column hideMarquee'&gt;&lt;div class='armyCardContainer card'&gt;&lt;div class='armyCard'&gt;&lt;div&gt;&lt;p class='marquee'&gt;NCO Worldwide is an academic portal is to design a student centric, centralized, web-based educational platform to enhance the lifelong learning experience for Soldiers across the globe.&lt;/p&gt;&lt;img src='assets/Card-111.png' class='cardImage' loading='lazy'&gt;&lt;/div&gt;&lt;div class='title'&gt;
          &lt;span&gt;NCO Worldwide&lt;/span&gt;&lt;/div&gt;&lt;/div&gt;&lt;/div&gt;&lt;/a&gt;&lt;/div&gt;&lt;script&gt;var jsN01 = document.getElementById('N01').innerHTML;&lt;/script&gt;</v>
      </c>
      <c r="Y18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NCO Worldwide - https://www.ncoworldwide.army.mil/ --&gt;
      &lt;summary&gt;• &lt;a href='https://www.ncoworldwide.army.mil/' rel='noopener noreferrer'&gt;NCO Worldwide - https://www.ncoworldwide.army.mil/&lt;/a&gt;&lt;/summary&gt;
      &lt;p&gt;NCO Worldwide is an academic portal is to design a student centric, centralized, web-based educational platform to enhance the lifelong learning experience for Soldiers across the globe.&lt;/p&gt;
    &lt;/details&gt;</v>
      </c>
      <c r="Z184" s="1" t="str">
        <f t="shared" si="8"/>
        <v xml:space="preserve">          &lt;!-- NCO Worldwide - https://www.ncoworldwide.army.mil/ --&gt;&lt;div id='dragN01' class='catAll catProDev'&gt;&lt;div class='column hideMarquee' draggable='true' ondragstart='drag(event)' value='N01' id='N01'&gt;&lt;div class='armyCardContainer ssCard'&gt;&lt;div class='ssArmyCard'&gt;&lt;div&gt;&lt;p class='marquee'&gt;NCO Worldwide is an academic portal is to design a student centric, centralized, web-based educational platform to enhance the lifelong learning experience for Soldiers across the globe.&lt;/p&gt;&lt;img src='assets/Card-111.png' class='ssCardImage' draggable='false' loading='lazy'&gt;&lt;/div&gt;&lt;div class='ssTitle'&gt;&lt;span id='N01Title'&gt;NCO Worldwide&lt;/span&gt;&lt;/div&gt;&lt;/div&gt;&lt;/div&gt;&lt;/div&gt;&lt;/div&gt;&lt;script&gt;var jsN01 = document.getElementById('dragN01').innerHTML;&lt;/script&gt;</v>
      </c>
      <c r="AA184" s="1" t="str">
        <f>CONCATENATE("var js",Table1[[#This Row],[IDs]]," = document.getElementbyId('drag",Table1[[#This Row],[IDs]],"').innerHTML; //  ",Table1[[#This Row],[Site]])</f>
        <v>var jsN01 = document.getElementbyId('dragN01').innerHTML; //  NCO Worldwide</v>
      </c>
    </row>
    <row r="185" spans="1:27" ht="15" x14ac:dyDescent="0.25">
      <c r="A185" t="s">
        <v>388</v>
      </c>
      <c r="B185" t="s">
        <v>388</v>
      </c>
      <c r="C185" s="7" t="s">
        <v>389</v>
      </c>
      <c r="D185" t="s">
        <v>812</v>
      </c>
      <c r="E185" t="s">
        <v>810</v>
      </c>
      <c r="F185" s="1" t="s">
        <v>399</v>
      </c>
      <c r="G185" s="1" t="s">
        <v>900</v>
      </c>
      <c r="H185" s="1" t="s">
        <v>900</v>
      </c>
      <c r="I185" s="1" t="s">
        <v>18</v>
      </c>
      <c r="W185" s="3" t="str">
        <f>CONCATENATE("var js",Table1[[#This Row],[IDs]]," = document.getElementbyId('",Table1[[#This Row],[IDs]],"').innerHTML; //  ",Table1[[#This Row],[Site]])</f>
        <v>var jsN02 = document.getElementbyId('N02').innerHTML; //  NETCOM</v>
      </c>
      <c r="X185" s="1" t="str">
        <f t="shared" si="11"/>
        <v xml:space="preserve">        &lt;!--NETCOM - https://netcom.army.mil/ --&gt;&lt;div class='column catAll catArmySites' style='margin-bottom: 0px;' id='N02'&gt;&lt;a href='https://netcom.army.mil/' rel='noopener noreferrer' class='column hideMarquee'&gt;&lt;div class='armyCardContainer card'&gt;&lt;div class='armyCard'&gt;&lt;div&gt;&lt;p class='marquee'&gt;NETCOM leads global operations for the Army's portion of the DODIN, ensuring freedom of action in cyberspace while denying the same to our adversaries.&lt;/p&gt;&lt;img src='assets/Card-128.png' class='cardImage' loading='lazy'&gt;&lt;/div&gt;&lt;div class='title'&gt;
          &lt;span&gt;NETCOM&lt;/span&gt;&lt;/div&gt;&lt;/div&gt;&lt;/div&gt;&lt;/a&gt;&lt;/div&gt;&lt;script&gt;var jsN02 = document.getElementById('N02').innerHTML;&lt;/script&gt;</v>
      </c>
      <c r="Y18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NETCOM - https://netcom.army.mil/ --&gt;
      &lt;summary&gt;• &lt;a href='https://netcom.army.mil/' rel='noopener noreferrer'&gt;NETCOM - https://netcom.army.mil/&lt;/a&gt;&lt;/summary&gt;
      &lt;p&gt;NETCOM leads global operations for the Army's portion of the DODIN, ensuring freedom of action in cyberspace while denying the same to our adversaries.&lt;/p&gt;
    &lt;/details&gt;</v>
      </c>
      <c r="Z185" s="1" t="str">
        <f t="shared" si="8"/>
        <v xml:space="preserve">          &lt;!-- NETCOM - https://netcom.army.mil/ --&gt;&lt;div id='dragN02' class='catAll catArmySites'&gt;&lt;div class='column hideMarquee' draggable='true' ondragstart='drag(event)' value='N02' id='N02'&gt;&lt;div class='armyCardContainer ssCard'&gt;&lt;div class='ssArmyCard'&gt;&lt;div&gt;&lt;p class='marquee'&gt;NETCOM leads global operations for the Army's portion of the DODIN, ensuring freedom of action in cyberspace while denying the same to our adversaries.&lt;/p&gt;&lt;img src='assets/Card-128.png' class='ssCardImage' draggable='false' loading='lazy'&gt;&lt;/div&gt;&lt;div class='ssTitle'&gt;&lt;span id='N02Title'&gt;NETCOM&lt;/span&gt;&lt;/div&gt;&lt;/div&gt;&lt;/div&gt;&lt;/div&gt;&lt;/div&gt;&lt;script&gt;var jsN02 = document.getElementById('dragN02').innerHTML;&lt;/script&gt;</v>
      </c>
      <c r="AA185" s="1" t="str">
        <f>CONCATENATE("var js",Table1[[#This Row],[IDs]]," = document.getElementbyId('drag",Table1[[#This Row],[IDs]],"').innerHTML; //  ",Table1[[#This Row],[Site]])</f>
        <v>var jsN02 = document.getElementbyId('dragN02').innerHTML; //  NETCOM</v>
      </c>
    </row>
    <row r="186" spans="1:27" ht="15" x14ac:dyDescent="0.25">
      <c r="A186" t="s">
        <v>304</v>
      </c>
      <c r="B186" t="s">
        <v>304</v>
      </c>
      <c r="C186" s="12" t="s">
        <v>305</v>
      </c>
      <c r="D186" t="s">
        <v>814</v>
      </c>
      <c r="E186" t="s">
        <v>813</v>
      </c>
      <c r="F186" s="1" t="s">
        <v>306</v>
      </c>
      <c r="G186" s="1" t="s">
        <v>900</v>
      </c>
      <c r="H186" s="1" t="s">
        <v>900</v>
      </c>
      <c r="O186" s="1" t="s">
        <v>18</v>
      </c>
      <c r="W186" s="3" t="str">
        <f>CONCATENATE("var js",Table1[[#This Row],[IDs]]," = document.getElementbyId('",Table1[[#This Row],[IDs]],"').innerHTML; //  ",Table1[[#This Row],[Site]])</f>
        <v>var jsO00 = document.getElementbyId('O00').innerHTML; //  Office of Personnel Management</v>
      </c>
      <c r="X186" s="1" t="str">
        <f t="shared" si="11"/>
        <v xml:space="preserve">        &lt;!--Office of Personnel Management - https://www.opm.gov/ --&gt;&lt;div class='column catAll catHuman' style='margin-bottom: 0px;' id='O00'&gt;&lt;a href='https://www.opm.gov/' rel='noopener noreferrer' class='column hideMarquee'&gt;&lt;div class='armyCardContainer card'&gt;&lt;div class='armyCard'&gt;&lt;div&gt;&lt;p class='marquee'&gt;The U.S. Office of Personnel Management (OPM) serves as the chief human resources agency and personnel policy manager for the Federal Government. OPM provides human resources leadership and support to Federal agencies and helps the Federal workforce achieve their aspirations as they serve the American people. OPM directs human resources and employee management services, administers retirement benefits, manages healthcare and insurance programs, oversees merit-based and inclusive hiring into the civil service, and provides a secure employment process.&lt;/p&gt;&lt;img src='assets/Card-102.png' class='cardImage' loading='lazy'&gt;&lt;/div&gt;&lt;div class='title'&gt;
          &lt;span&gt;Office of Personnel Management&lt;/span&gt;&lt;/div&gt;&lt;/div&gt;&lt;/div&gt;&lt;/a&gt;&lt;/div&gt;&lt;script&gt;var jsO00 = document.getElementById('O00').innerHTML;&lt;/script&gt;</v>
      </c>
      <c r="Y18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Office of Personnel Management - https://www.opm.gov/ --&gt;
      &lt;summary&gt;• &lt;a href='https://www.opm.gov/' rel='noopener noreferrer'&gt;Office of Personnel Management - https://www.opm.gov/&lt;/a&gt;&lt;/summary&gt;
      &lt;p&gt;The U.S. Office of Personnel Management (OPM) serves as the chief human resources agency and personnel policy manager for the Federal Government. OPM provides human resources leadership and support to Federal agencies and helps the Federal workforce achieve their aspirations as they serve the American people. OPM directs human resources and employee management services, administers retirement benefits, manages healthcare and insurance programs, oversees merit-based and inclusive hiring into the civil service, and provides a secure employment process.&lt;/p&gt;
    &lt;/details&gt;</v>
      </c>
      <c r="Z186" s="1" t="str">
        <f t="shared" si="8"/>
        <v xml:space="preserve">          &lt;!-- Office of Personnel Management - https://www.opm.gov/ --&gt;&lt;div id='dragO00' class='catAll catHuman'&gt;&lt;div class='column hideMarquee' draggable='true' ondragstart='drag(event)' value='O00' id='O00'&gt;&lt;div class='armyCardContainer ssCard'&gt;&lt;div class='ssArmyCard'&gt;&lt;div&gt;&lt;p class='marquee'&gt;The U.S. Office of Personnel Management (OPM) serves as the chief human resources agency and personnel policy manager for the Federal Government. OPM provides human resources leadership and support to Federal agencies and helps the Federal workforce achieve their aspirations as they serve the American people. OPM directs human resources and employee management services, administers retirement benefits, manages healthcare and insurance programs, oversees merit-based and inclusive hiring into the civil service, and provides a secure employment process.&lt;/p&gt;&lt;img src='assets/Card-102.png' class='ssCardImage' draggable='false' loading='lazy'&gt;&lt;/div&gt;&lt;div class='ssTitle'&gt;&lt;span id='O00Title'&gt;Office of Personnel Management&lt;/span&gt;&lt;/div&gt;&lt;/div&gt;&lt;/div&gt;&lt;/div&gt;&lt;/div&gt;&lt;script&gt;var jsO00 = document.getElementById('dragO00').innerHTML;&lt;/script&gt;</v>
      </c>
      <c r="AA186" s="1" t="str">
        <f>CONCATENATE("var js",Table1[[#This Row],[IDs]]," = document.getElementbyId('drag",Table1[[#This Row],[IDs]],"').innerHTML; //  ",Table1[[#This Row],[Site]])</f>
        <v>var jsO00 = document.getElementbyId('dragO00').innerHTML; //  Office of Personnel Management</v>
      </c>
    </row>
    <row r="187" spans="1:27" ht="15" x14ac:dyDescent="0.25">
      <c r="A187" t="s">
        <v>904</v>
      </c>
      <c r="B187" t="s">
        <v>904</v>
      </c>
      <c r="C187" s="11" t="s">
        <v>902</v>
      </c>
      <c r="D187" t="s">
        <v>606</v>
      </c>
      <c r="E187" s="1" t="s">
        <v>988</v>
      </c>
      <c r="F187" s="1" t="s">
        <v>948</v>
      </c>
      <c r="G187" s="1" t="s">
        <v>900</v>
      </c>
      <c r="H187" s="1" t="s">
        <v>552</v>
      </c>
      <c r="O187" s="1" t="s">
        <v>18</v>
      </c>
      <c r="Q187" s="1" t="s">
        <v>18</v>
      </c>
      <c r="W187" s="3" t="str">
        <f>CONCATENATE("var js",Table1[[#This Row],[IDs]]," = document.getElementbyId('",Table1[[#This Row],[IDs]],"').innerHTML; //  ",Table1[[#This Row],[Site]])</f>
        <v>var jsO01 = document.getElementbyId('O01').innerHTML; //  Officer and Warrant Officer Promotions</v>
      </c>
      <c r="X187" s="1" t="str">
        <f t="shared" si="11"/>
        <v xml:space="preserve">        &lt;!--Officer and Warrant Officer Promotions - https://www.hrc.army.mil/content/Officer%20and%20WO%20Selections%20and%20Promotions --&gt;&lt;div class='column catAll catHuman catProDev' style='margin-bottom: 0px;' id='O01'&gt;&lt;a href='https://www.hrc.army.mil/content/Officer%20and%20WO%20Selections%20and%20Promotions' rel='noopener noreferrer' class='column hideMarquee'&gt;&lt;div class='armyCardContainer card'&gt;&lt;div class='armyCard'&gt;&lt;div&gt;&lt;p class='marquee'&gt;HRC's Officer and Warrant Officer promotions page. Go here to find out the details on the Officer and Warrant Officer promotion process.&lt;/p&gt;&lt;img src='assets/CaCRequired.png' title='A CAC is required to use some or all features of this site!' Class='cacLocked'&gt;&lt;img src='assets/Card-060.png' class='cardImage' loading='lazy'&gt;&lt;/div&gt;&lt;div class='title'&gt;
          &lt;span&gt;Officer and Warrant Officer Promotions&lt;/span&gt;&lt;/div&gt;&lt;/div&gt;&lt;/div&gt;&lt;/a&gt;&lt;/div&gt;&lt;script&gt;var jsO01 = document.getElementById('O01').innerHTML;&lt;/script&gt;</v>
      </c>
      <c r="Y18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Officer and Warrant Officer Promotions - https://www.hrc.army.mil/content/Officer%20and%20WO%20Selections%20and%20Promotions --&gt;
      &lt;summary&gt;• &lt;a href='https://www.hrc.army.mil/content/Officer%20and%20WO%20Selections%20and%20Promotions' rel='noopener noreferrer'&gt;Officer and Warrant Officer Promotions - https://www.hrc.army.mil/content/Officer%20and%20WO%20Selections%20and%20Promotions&lt;/a&gt;&lt;/summary&gt;
      &lt;p&gt;HRC's Officer and Warrant Officer promotions page. Go here to find out the details on the Officer and Warrant Officer promotion process.&lt;/p&gt;
    &lt;/details&gt;</v>
      </c>
      <c r="Z187" s="1" t="str">
        <f t="shared" si="8"/>
        <v xml:space="preserve">          &lt;!-- Officer and Warrant Officer Promotions - https://www.hrc.army.mil/content/Officer%20and%20WO%20Selections%20and%20Promotions --&gt;&lt;div id='dragO01' class='catAll catHuman catProDev'&gt;&lt;div class='column hideMarquee' draggable='true' ondragstart='drag(event)' value='O01' id='O01'&gt;&lt;div class='armyCardContainer ssCard'&gt;&lt;div class='ssArmyCard'&gt;&lt;div&gt;&lt;p class='marquee'&gt;HRC's Officer and Warrant Officer promotions page. Go here to find out the details on the Officer and Warrant Officer promotion process.&lt;/p&gt;&lt;img src='assets/Card-060.png' class='ssCardImage' draggable='false' loading='lazy'&gt;&lt;/div&gt;&lt;div class='ssTitle'&gt;&lt;span id='O01Title'&gt;Officer and Warrant Officer Promotions&lt;/span&gt;&lt;/div&gt;&lt;/div&gt;&lt;/div&gt;&lt;/div&gt;&lt;/div&gt;&lt;script&gt;var jsO01 = document.getElementById('dragO01').innerHTML;&lt;/script&gt;</v>
      </c>
      <c r="AA187" s="1" t="str">
        <f>CONCATENATE("var js",Table1[[#This Row],[IDs]]," = document.getElementbyId('drag",Table1[[#This Row],[IDs]],"').innerHTML; //  ",Table1[[#This Row],[Site]])</f>
        <v>var jsO01 = document.getElementbyId('dragO01').innerHTML; //  Officer and Warrant Officer Promotions</v>
      </c>
    </row>
    <row r="188" spans="1:27" ht="15" x14ac:dyDescent="0.25">
      <c r="A188" t="s">
        <v>467</v>
      </c>
      <c r="B188" t="s">
        <v>467</v>
      </c>
      <c r="C188" s="8" t="s">
        <v>503</v>
      </c>
      <c r="D188" t="s">
        <v>816</v>
      </c>
      <c r="E188" t="s">
        <v>815</v>
      </c>
      <c r="F188" s="1" t="s">
        <v>471</v>
      </c>
      <c r="G188" s="1" t="s">
        <v>900</v>
      </c>
      <c r="H188" s="1" t="s">
        <v>552</v>
      </c>
      <c r="N188" s="1" t="s">
        <v>18</v>
      </c>
      <c r="W188" s="3" t="str">
        <f>CONCATENATE("var js",Table1[[#This Row],[IDs]]," = document.getElementbyId('",Table1[[#This Row],[IDs]],"').innerHTML; //  ",Table1[[#This Row],[Site]])</f>
        <v>var jsP05 = document.getElementbyId('P05').innerHTML; //  Patient Portal Tricare Online</v>
      </c>
      <c r="X188" s="1" t="str">
        <f t="shared" si="11"/>
        <v xml:space="preserve">        &lt;!--Patient Portal Tricare Online - https://www.tricareonline.com/ --&gt;&lt;div class='column catAll catHealth' style='margin-bottom: 0px;' id='P05'&gt;&lt;a href='https://www.tricareonline.com/' rel='noopener noreferrer' class='column hideMarquee'&gt;&lt;div class='armyCardContainer card'&gt;&lt;div class='armyCard'&gt;&lt;div&gt;&lt;p class='marquee'&gt;Patient Portal Tricare Online is a part of the MHS GENESIS (MHSG) system. MHSG is the new electronic health record for the Military Health System (MHS) and provides enhanced, secure technology to manage your health information. MHSG integrates inpatient and outpatient solutions that will connect medical and dental information across the continuum of care, from point of injury to the military treatment facility.&lt;/p&gt;&lt;img src='assets/CaCRequired.png' title='A CAC is required to use some or all features of this site!' Class='cacLocked'&gt;&lt;img src='assets/Card-148.png' class='cardImage' loading='lazy'&gt;&lt;/div&gt;&lt;div class='title'&gt;
          &lt;span&gt;Patient Portal Tricare Online&lt;/span&gt;&lt;/div&gt;&lt;/div&gt;&lt;/div&gt;&lt;/a&gt;&lt;/div&gt;&lt;script&gt;var jsP05 = document.getElementById('P05').innerHTML;&lt;/script&gt;</v>
      </c>
      <c r="Y18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Patient Portal Tricare Online - https://www.tricareonline.com/ --&gt;
      &lt;summary&gt;• &lt;a href='https://www.tricareonline.com/' rel='noopener noreferrer'&gt;Patient Portal Tricare Online - https://www.tricareonline.com/&lt;/a&gt;&lt;/summary&gt;
      &lt;p&gt;Patient Portal Tricare Online is a part of the MHS GENESIS (MHSG) system. MHSG is the new electronic health record for the Military Health System (MHS) and provides enhanced, secure technology to manage your health information. MHSG integrates inpatient and outpatient solutions that will connect medical and dental information across the continuum of care, from point of injury to the military treatment facility.&lt;/p&gt;
    &lt;/details&gt;</v>
      </c>
      <c r="Z188" s="1" t="str">
        <f t="shared" si="8"/>
        <v xml:space="preserve">          &lt;!-- Patient Portal Tricare Online - https://www.tricareonline.com/ --&gt;&lt;div id='dragP05' class='catAll catHealth'&gt;&lt;div class='column hideMarquee' draggable='true' ondragstart='drag(event)' value='P05' id='P05'&gt;&lt;div class='armyCardContainer ssCard'&gt;&lt;div class='ssArmyCard'&gt;&lt;div&gt;&lt;p class='marquee'&gt;Patient Portal Tricare Online is a part of the MHS GENESIS (MHSG) system. MHSG is the new electronic health record for the Military Health System (MHS) and provides enhanced, secure technology to manage your health information. MHSG integrates inpatient and outpatient solutions that will connect medical and dental information across the continuum of care, from point of injury to the military treatment facility.&lt;/p&gt;&lt;img src='assets/Card-148.png' class='ssCardImage' draggable='false' loading='lazy'&gt;&lt;/div&gt;&lt;div class='ssTitle'&gt;&lt;span id='P05Title'&gt;Patient Portal Tricare Online&lt;/span&gt;&lt;/div&gt;&lt;/div&gt;&lt;/div&gt;&lt;/div&gt;&lt;/div&gt;&lt;script&gt;var jsP05 = document.getElementById('dragP05').innerHTML;&lt;/script&gt;</v>
      </c>
      <c r="AA188" s="1" t="str">
        <f>CONCATENATE("var js",Table1[[#This Row],[IDs]]," = document.getElementbyId('drag",Table1[[#This Row],[IDs]],"').innerHTML; //  ",Table1[[#This Row],[Site]])</f>
        <v>var jsP05 = document.getElementbyId('dragP05').innerHTML; //  Patient Portal Tricare Online</v>
      </c>
    </row>
    <row r="189" spans="1:27" ht="15" x14ac:dyDescent="0.25">
      <c r="A189" t="s">
        <v>307</v>
      </c>
      <c r="B189" t="s">
        <v>307</v>
      </c>
      <c r="C189" s="12" t="s">
        <v>308</v>
      </c>
      <c r="D189" t="s">
        <v>818</v>
      </c>
      <c r="E189" t="s">
        <v>817</v>
      </c>
      <c r="F189" s="1" t="s">
        <v>309</v>
      </c>
      <c r="G189" s="1" t="s">
        <v>900</v>
      </c>
      <c r="H189" s="1" t="s">
        <v>900</v>
      </c>
      <c r="Q189" s="1" t="s">
        <v>18</v>
      </c>
      <c r="W189" s="3" t="str">
        <f>CONCATENATE("var js",Table1[[#This Row],[IDs]]," = document.getElementbyId('",Table1[[#This Row],[IDs]],"').innerHTML; //  ",Table1[[#This Row],[Site]])</f>
        <v>var jsP00 = document.getElementbyId('P00').innerHTML; //  Preventative Maintenance Monthly (P.S. Magazine)</v>
      </c>
      <c r="X189" s="1" t="str">
        <f t="shared" si="11"/>
        <v xml:space="preserve">        &lt;!--Preventative Maintenance Monthly (P.S. Magazine) - https://www.psmagazine.army.mil/ --&gt;&lt;div class='column catAll catProDev' style='margin-bottom: 0px;' id='P00'&gt;&lt;a href='https://www.psmagazine.army.mil/' rel='noopener noreferrer' class='column hideMarquee'&gt;&lt;div class='armyCardContainer card'&gt;&lt;div class='armyCard'&gt;&lt;div&gt;&lt;p class='marquee'&gt;Preventative Maintenance Monthly is intended to enhance materiel readiness by emphasizing preventive maintenance and promoting proper maintenance and supply procedures. Review of PS Magazine will be a regular part of unit readiness initiatives. A reader service is available to answer maintenance and supply questions.&lt;/p&gt;&lt;img src='assets/Card-104.jpg' class='cardImage' loading='lazy'&gt;&lt;/div&gt;&lt;div class='title'&gt;
          &lt;span&gt;Preventative Maintenance Monthly (P.S. Magazine)&lt;/span&gt;&lt;/div&gt;&lt;/div&gt;&lt;/div&gt;&lt;/a&gt;&lt;/div&gt;&lt;script&gt;var jsP00 = document.getElementById('P00').innerHTML;&lt;/script&gt;</v>
      </c>
      <c r="Y18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Preventative Maintenance Monthly (P.S. Magazine) - https://www.psmagazine.army.mil/ --&gt;
      &lt;summary&gt;• &lt;a href='https://www.psmagazine.army.mil/' rel='noopener noreferrer'&gt;Preventative Maintenance Monthly (P.S. Magazine) - https://www.psmagazine.army.mil/&lt;/a&gt;&lt;/summary&gt;
      &lt;p&gt;Preventative Maintenance Monthly is intended to enhance materiel readiness by emphasizing preventive maintenance and promoting proper maintenance and supply procedures. Review of PS Magazine will be a regular part of unit readiness initiatives. A reader service is available to answer maintenance and supply questions.&lt;/p&gt;
    &lt;/details&gt;</v>
      </c>
      <c r="Z189" s="1" t="str">
        <f t="shared" si="8"/>
        <v xml:space="preserve">          &lt;!-- Preventative Maintenance Monthly (P.S. Magazine) - https://www.psmagazine.army.mil/ --&gt;&lt;div id='dragP00' class='catAll catProDev'&gt;&lt;div class='column hideMarquee' draggable='true' ondragstart='drag(event)' value='P00' id='P00'&gt;&lt;div class='armyCardContainer ssCard'&gt;&lt;div class='ssArmyCard'&gt;&lt;div&gt;&lt;p class='marquee'&gt;Preventative Maintenance Monthly is intended to enhance materiel readiness by emphasizing preventive maintenance and promoting proper maintenance and supply procedures. Review of PS Magazine will be a regular part of unit readiness initiatives. A reader service is available to answer maintenance and supply questions.&lt;/p&gt;&lt;img src='assets/Card-104.jpg' class='ssCardImage' draggable='false' loading='lazy'&gt;&lt;/div&gt;&lt;div class='ssTitle'&gt;&lt;span id='P00Title'&gt;Preventative Maintenance Monthly (P.S. Magazine)&lt;/span&gt;&lt;/div&gt;&lt;/div&gt;&lt;/div&gt;&lt;/div&gt;&lt;/div&gt;&lt;script&gt;var jsP00 = document.getElementById('dragP00').innerHTML;&lt;/script&gt;</v>
      </c>
      <c r="AA189" s="1" t="str">
        <f>CONCATENATE("var js",Table1[[#This Row],[IDs]]," = document.getElementbyId('drag",Table1[[#This Row],[IDs]],"').innerHTML; //  ",Table1[[#This Row],[Site]])</f>
        <v>var jsP00 = document.getElementbyId('dragP00').innerHTML; //  Preventative Maintenance Monthly (P.S. Magazine)</v>
      </c>
    </row>
    <row r="190" spans="1:27" ht="15" x14ac:dyDescent="0.25">
      <c r="A190" t="s">
        <v>310</v>
      </c>
      <c r="B190" t="s">
        <v>310</v>
      </c>
      <c r="C190" s="12" t="s">
        <v>311</v>
      </c>
      <c r="D190" t="s">
        <v>820</v>
      </c>
      <c r="E190" t="s">
        <v>819</v>
      </c>
      <c r="F190" s="1" t="s">
        <v>312</v>
      </c>
      <c r="G190" s="1" t="s">
        <v>900</v>
      </c>
      <c r="H190" s="1" t="s">
        <v>552</v>
      </c>
      <c r="K190" s="1" t="s">
        <v>18</v>
      </c>
      <c r="W190" s="3" t="str">
        <f>CONCATENATE("var js",Table1[[#This Row],[IDs]]," = document.getElementbyId('",Table1[[#This Row],[IDs]],"').innerHTML; //  ",Table1[[#This Row],[Site]])</f>
        <v>var jsP01 = document.getElementbyId('P01').innerHTML; //  Procurement Integrated Enterprise Environment (PIEE)</v>
      </c>
      <c r="X190" s="1" t="str">
        <f t="shared" si="11"/>
        <v xml:space="preserve">        &lt;!--Procurement Integrated Enterprise Environment (PIEE) - https://wawf.eb.mil/ --&gt;&lt;div class='column catAll catDod' style='margin-bottom: 0px;' id='P01'&gt;&lt;a href='https://wawf.eb.mil/' rel='noopener noreferrer' class='column hideMarquee'&gt;&lt;div class='armyCardContainer card'&gt;&lt;div class='armyCard'&gt;&lt;div&gt;&lt;p class='marquee'&gt;The Procurement Integrated Enterprise Environment (PIEE) is the primary enterprise procure-to-pay (P2P) application for the Department of Defense and its supporting agencies and is trusted by companies reporting over $7.1 billion in spending.&lt;/p&gt;&lt;img src='assets/CaCRequired.png' title='A CAC is required to use some or all features of this site!' Class='cacLocked'&gt;&lt;img src='assets/Card-103.png' class='cardImage' loading='lazy'&gt;&lt;/div&gt;&lt;div class='title'&gt;
          &lt;span&gt;Procurement Integrated Enterprise Environment (PIEE)&lt;/span&gt;&lt;/div&gt;&lt;/div&gt;&lt;/div&gt;&lt;/a&gt;&lt;/div&gt;&lt;script&gt;var jsP01 = document.getElementById('P01').innerHTML;&lt;/script&gt;</v>
      </c>
      <c r="Y19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Procurement Integrated Enterprise Environment (PIEE) - https://wawf.eb.mil/ --&gt;
      &lt;summary&gt;• &lt;a href='https://wawf.eb.mil/' rel='noopener noreferrer'&gt;Procurement Integrated Enterprise Environment (PIEE) - https://wawf.eb.mil/&lt;/a&gt;&lt;/summary&gt;
      &lt;p&gt;The Procurement Integrated Enterprise Environment (PIEE) is the primary enterprise procure-to-pay (P2P) application for the Department of Defense and its supporting agencies and is trusted by companies reporting over $7.1 billion in spending.&lt;/p&gt;
    &lt;/details&gt;</v>
      </c>
      <c r="Z190" s="1" t="str">
        <f t="shared" si="8"/>
        <v xml:space="preserve">          &lt;!-- Procurement Integrated Enterprise Environment (PIEE) - https://wawf.eb.mil/ --&gt;&lt;div id='dragP01' class='catAll catDod'&gt;&lt;div class='column hideMarquee' draggable='true' ondragstart='drag(event)' value='P01' id='P01'&gt;&lt;div class='armyCardContainer ssCard'&gt;&lt;div class='ssArmyCard'&gt;&lt;div&gt;&lt;p class='marquee'&gt;The Procurement Integrated Enterprise Environment (PIEE) is the primary enterprise procure-to-pay (P2P) application for the Department of Defense and its supporting agencies and is trusted by companies reporting over $7.1 billion in spending.&lt;/p&gt;&lt;img src='assets/Card-103.png' class='ssCardImage' draggable='false' loading='lazy'&gt;&lt;/div&gt;&lt;div class='ssTitle'&gt;&lt;span id='P01Title'&gt;Procurement Integrated Enterprise Environment (PIEE)&lt;/span&gt;&lt;/div&gt;&lt;/div&gt;&lt;/div&gt;&lt;/div&gt;&lt;/div&gt;&lt;script&gt;var jsP01 = document.getElementById('dragP01').innerHTML;&lt;/script&gt;</v>
      </c>
      <c r="AA190" s="1" t="str">
        <f>CONCATENATE("var js",Table1[[#This Row],[IDs]]," = document.getElementbyId('drag",Table1[[#This Row],[IDs]],"').innerHTML; //  ",Table1[[#This Row],[Site]])</f>
        <v>var jsP01 = document.getElementbyId('dragP01').innerHTML; //  Procurement Integrated Enterprise Environment (PIEE)</v>
      </c>
    </row>
    <row r="191" spans="1:27" ht="15" x14ac:dyDescent="0.25">
      <c r="A191" s="1" t="s">
        <v>1031</v>
      </c>
      <c r="B191" s="1" t="s">
        <v>992</v>
      </c>
      <c r="C191" s="1" t="s">
        <v>549</v>
      </c>
      <c r="D191" t="s">
        <v>746</v>
      </c>
      <c r="E191" t="s">
        <v>821</v>
      </c>
      <c r="F191" s="1" t="s">
        <v>949</v>
      </c>
      <c r="G191" s="1" t="s">
        <v>900</v>
      </c>
      <c r="H191" s="1" t="s">
        <v>552</v>
      </c>
      <c r="O191" s="1" t="s">
        <v>18</v>
      </c>
      <c r="Q191" s="1" t="s">
        <v>18</v>
      </c>
      <c r="W191" s="3" t="str">
        <f>CONCATENATE("var js",Table1[[#This Row],[IDs]]," = document.getElementbyId('",Table1[[#This Row],[IDs]],"').innerHTML; //  ",Table1[[#This Row],[Site]])</f>
        <v>var jsP06 = document.getElementbyId('P06').innerHTML; //  Promotion Point Worksheet (IPPS-A)</v>
      </c>
      <c r="X191" s="1" t="str">
        <f t="shared" si="11"/>
        <v xml:space="preserve">        &lt;!--Promotion Point Worksheet (IPPS-A) - https://hr.ippsa.army.mil/psc/hcpdc/EMPLOYEE/HRMS/c/IP_PROMO_ROSTER.IP_EE_PROMO_FL.GBL?pslnkid=IP_PROMOTION_POINTS_LINK --&gt;&lt;div class='column catAll catHuman catProDev' style='margin-bottom: 0px;' id='P06'&gt;&lt;a href='https://hr.ippsa.army.mil/psc/hcpdc/EMPLOYEE/HRMS/c/IP_PROMO_ROSTER.IP_EE_PROMO_FL.GBL?pslnkid=IP_PROMOTION_POINTS_LINK' rel='noopener noreferrer' class='column hideMarquee'&gt;&lt;div class='armyCardContainer card'&gt;&lt;div class='armyCard'&gt;&lt;div&gt;&lt;p class='marquee'&gt;Pulls your Promotion Point Worksheet from HRC. The Promotion Point Worksheet displays your current promotion point brake down for promotions to SGT and SSG.&lt;/p&gt;&lt;img src='assets/CaCRequired.png' title='A CAC is required to use some or all features of this site!' Class='cacLocked'&gt;&lt;img src='assets/Card-049.png' class='cardImage' loading='lazy'&gt;&lt;/div&gt;&lt;div class='title'&gt;
          &lt;span&gt;Promotion Point Worksheet (IPPS-A)&lt;/span&gt;&lt;/div&gt;&lt;/div&gt;&lt;/div&gt;&lt;/a&gt;&lt;/div&gt;&lt;script&gt;var jsP06 = document.getElementById('P06').innerHTML;&lt;/script&gt;</v>
      </c>
      <c r="Y19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Promotion Point Worksheet (IPPS-A) - https://hr.ippsa.army.mil/psc/hcpdc/EMPLOYEE/HRMS/c/IP_PROMO_ROSTER.IP_EE_PROMO_FL.GBL?pslnkid=IP_PROMOTION_POINTS_LINK --&gt;
      &lt;summary&gt;• &lt;a href='https://hr.ippsa.army.mil/psc/hcpdc/EMPLOYEE/HRMS/c/IP_PROMO_ROSTER.IP_EE_PROMO_FL.GBL?pslnkid=IP_PROMOTION_POINTS_LINK' rel='noopener noreferrer'&gt;Promotion Point Worksheet (IPPS-A) - https://hr.ippsa.army.mil/psc/hcpdc/EMPLOYEE/HRMS/c/IP_PROMO_ROSTER.IP_EE_PROMO_FL.GBL?pslnkid=IP_PROMOTION_POINTS_LINK&lt;/a&gt;&lt;/summary&gt;
      &lt;p&gt;Pulls your Promotion Point Worksheet from HRC. The Promotion Point Worksheet displays your current promotion point brake down for promotions to SGT and SSG.&lt;/p&gt;
    &lt;/details&gt;</v>
      </c>
      <c r="Z191" s="1" t="str">
        <f t="shared" si="8"/>
        <v xml:space="preserve">          &lt;!-- Promotion Point Worksheet&lt;br&gt;(IPPS-A) - https://hr.ippsa.army.mil/psc/hcpdc/EMPLOYEE/HRMS/c/IP_PROMO_ROSTER.IP_EE_PROMO_FL.GBL?pslnkid=IP_PROMOTION_POINTS_LINK --&gt;&lt;div id='dragP06' class='catAll catHuman catProDev'&gt;&lt;div class='column hideMarquee' draggable='true' ondragstart='drag(event)' value='P06' id='P06'&gt;&lt;div class='armyCardContainer ssCard'&gt;&lt;div class='ssArmyCard'&gt;&lt;div&gt;&lt;p class='marquee'&gt;Pulls your Promotion Point Worksheet from HRC. The Promotion Point Worksheet displays your current promotion point brake down for promotions to SGT and SSG.&lt;/p&gt;&lt;img src='assets/Card-049.png' class='ssCardImage' draggable='false' loading='lazy'&gt;&lt;/div&gt;&lt;div class='ssTitle'&gt;&lt;span id='P06Title'&gt;Promotion Point Worksheet (IPPS-A)&lt;/span&gt;&lt;/div&gt;&lt;/div&gt;&lt;/div&gt;&lt;/div&gt;&lt;/div&gt;&lt;script&gt;var jsP06 = document.getElementById('dragP06').innerHTML;&lt;/script&gt;</v>
      </c>
      <c r="AA191" s="1" t="str">
        <f>CONCATENATE("var js",Table1[[#This Row],[IDs]]," = document.getElementbyId('drag",Table1[[#This Row],[IDs]],"').innerHTML; //  ",Table1[[#This Row],[Site]])</f>
        <v>var jsP06 = document.getElementbyId('dragP06').innerHTML; //  Promotion Point Worksheet (IPPS-A)</v>
      </c>
    </row>
    <row r="192" spans="1:27" ht="15" x14ac:dyDescent="0.25">
      <c r="A192" s="1" t="s">
        <v>1032</v>
      </c>
      <c r="B192" s="1" t="s">
        <v>993</v>
      </c>
      <c r="C192" s="1" t="s">
        <v>313</v>
      </c>
      <c r="D192" t="s">
        <v>642</v>
      </c>
      <c r="E192" t="s">
        <v>1059</v>
      </c>
      <c r="F192" s="1" t="s">
        <v>314</v>
      </c>
      <c r="G192" s="1" t="s">
        <v>900</v>
      </c>
      <c r="H192" s="1" t="s">
        <v>552</v>
      </c>
      <c r="O192" s="1" t="s">
        <v>18</v>
      </c>
      <c r="Q192" s="1" t="s">
        <v>18</v>
      </c>
      <c r="V192" s="1" t="s">
        <v>18</v>
      </c>
      <c r="W192" s="3" t="str">
        <f>CONCATENATE("var js",Table1[[#This Row],[IDs]]," = document.getElementbyId('",Table1[[#This Row],[IDs]],"').innerHTML; //  ",Table1[[#This Row],[Site]])</f>
        <v>var jsP02 = document.getElementbyId('P02').innerHTML; //  Promotion Point Worksheet (Legacy)</v>
      </c>
      <c r="X192" s="1" t="str">
        <f t="shared" si="11"/>
        <v xml:space="preserve">        &lt;!--Promotion Point Worksheet (Legacy) - https://www.hrcapps.army.mil/PPW/ --&gt;&lt;div class='column catAll catHuman catProDev' style='margin-bottom: 0px;' id='P02'&gt;&lt;a href='https://www.hrcapps.army.mil/PPW/' rel='noopener noreferrer' class='column hideMarquee'&gt;&lt;div class='armyCardContainer card'&gt;&lt;div class='armyCard'&gt;&lt;div&gt;&lt;p class='marquee'&gt;This is a Legacy Card, Some or all of its funcions may no longer be avalible.&lt;br&gt;Pulls your Promotion Point Worksheet from HRC. The Promotion Point Worksheet displays your current promotion point brake down for promotions to SGT and SSG.&lt;/p&gt;&lt;img src='assets/CaCRequired.png' title='A CAC is required to use some or all features of this site!' Class='cacLocked'&gt;&lt;img src='assets/Card-008.jpg' class='cardImage' loading='lazy'&gt;&lt;/div&gt;&lt;div class='title'&gt;
          &lt;span&gt;Promotion Point Worksheet (Legacy)&lt;/span&gt;&lt;/div&gt;&lt;/div&gt;&lt;/div&gt;&lt;/a&gt;&lt;/div&gt;&lt;script&gt;var jsP02 = document.getElementById('P02').innerHTML;&lt;/script&gt;</v>
      </c>
      <c r="Y19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Promotion Point Worksheet (Legacy) - https://www.hrcapps.army.mil/PPW/ --&gt;
      &lt;summary&gt;• &lt;a href='https://www.hrcapps.army.mil/PPW/' rel='noopener noreferrer'&gt;Promotion Point Worksheet (Legacy) - https://www.hrcapps.army.mil/PPW/&lt;/a&gt;&lt;/summary&gt;
      &lt;p&gt;This is a Legacy Card, Some or all of its funcions may no longer be avalible.&lt;br&gt;Pulls your Promotion Point Worksheet from HRC. The Promotion Point Worksheet displays your current promotion point brake down for promotions to SGT and SSG.&lt;/p&gt;
    &lt;/details&gt;</v>
      </c>
      <c r="Z192" s="1" t="str">
        <f t="shared" si="8"/>
        <v xml:space="preserve">          &lt;!-- Promotion Point Worksheet&lt;br&gt;(Legacy) - https://www.hrcapps.army.mil/PPW/ --&gt;&lt;div id='dragP02' class='catAll catHuman catProDev'&gt;&lt;div class='column hideMarquee' draggable='true' ondragstart='drag(event)' value='P02' id='P02'&gt;&lt;div class='armyCardContainer ssCard'&gt;&lt;div class='ssArmyCard'&gt;&lt;div&gt;&lt;p class='marquee'&gt;This is a Legacy Card, Some or all of its funcions may no longer be avalible.&lt;br&gt;Pulls your Promotion Point Worksheet from HRC. The Promotion Point Worksheet displays your current promotion point brake down for promotions to SGT and SSG.&lt;/p&gt;&lt;img src='assets/Card-008.jpg' class='ssCardImage' draggable='false' loading='lazy'&gt;&lt;/div&gt;&lt;div class='ssTitle'&gt;&lt;span id='P02Title'&gt;Promotion Point Worksheet (Legacy)&lt;/span&gt;&lt;/div&gt;&lt;/div&gt;&lt;/div&gt;&lt;/div&gt;&lt;/div&gt;&lt;script&gt;var jsP02 = document.getElementById('dragP02').innerHTML;&lt;/script&gt;</v>
      </c>
      <c r="AA192" s="1" t="str">
        <f>CONCATENATE("var js",Table1[[#This Row],[IDs]]," = document.getElementbyId('drag",Table1[[#This Row],[IDs]],"').innerHTML; //  ",Table1[[#This Row],[Site]])</f>
        <v>var jsP02 = document.getElementbyId('dragP02').innerHTML; //  Promotion Point Worksheet (Legacy)</v>
      </c>
    </row>
    <row r="193" spans="1:27" ht="15" x14ac:dyDescent="0.25">
      <c r="A193" t="s">
        <v>827</v>
      </c>
      <c r="B193" t="s">
        <v>827</v>
      </c>
      <c r="C193" s="12" t="s">
        <v>828</v>
      </c>
      <c r="D193" t="s">
        <v>823</v>
      </c>
      <c r="E193" t="s">
        <v>822</v>
      </c>
      <c r="F193" s="1" t="s">
        <v>826</v>
      </c>
      <c r="G193" s="1" t="s">
        <v>900</v>
      </c>
      <c r="H193" s="1" t="s">
        <v>900</v>
      </c>
      <c r="K193" s="1" t="s">
        <v>18</v>
      </c>
      <c r="R193" s="1" t="s">
        <v>18</v>
      </c>
      <c r="W193" s="3" t="str">
        <f>CONCATENATE("var js",Table1[[#This Row],[IDs]]," = document.getElementbyId('",Table1[[#This Row],[IDs]],"').innerHTML; //  ",Table1[[#This Row],[Site]])</f>
        <v>var jsP04 = document.getElementbyId('P04').innerHTML; //  Protected Internet eXchange (PiX)</v>
      </c>
      <c r="X193" s="1" t="str">
        <f t="shared" si="11"/>
        <v xml:space="preserve">        &lt;!--Protected Internet eXchange (PiX) - https://pixtoday.net/ --&gt;&lt;div class='column catAll catDod catTech' style='margin-bottom: 0px;' id='P04'&gt;&lt;a href='https://pixtoday.net/' rel='noopener noreferrer' class='column hideMarquee'&gt;&lt;div class='armyCardContainer card'&gt;&lt;div class='armyCard'&gt;&lt;div&gt;&lt;p class='marquee'&gt;The Protected Internet eXchange (PiX), is a US government-sponsored program to assist with unclassified information sharing among US government agencies and military, as well as with foreign partners. PiX helps people working on similar problem sets connect with each other in a secure space.&lt;/p&gt;&lt;img src='assets/Card-136.png' class='cardImage' loading='lazy'&gt;&lt;/div&gt;&lt;div class='title'&gt;
          &lt;span&gt;Protected Internet eXchange (PiX)&lt;/span&gt;&lt;/div&gt;&lt;/div&gt;&lt;/div&gt;&lt;/a&gt;&lt;/div&gt;&lt;script&gt;var jsP04 = document.getElementById('P04').innerHTML;&lt;/script&gt;</v>
      </c>
      <c r="Y19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Protected Internet eXchange (PiX) - https://pixtoday.net/ --&gt;
      &lt;summary&gt;• &lt;a href='https://pixtoday.net/' rel='noopener noreferrer'&gt;Protected Internet eXchange (PiX) - https://pixtoday.net/&lt;/a&gt;&lt;/summary&gt;
      &lt;p&gt;The Protected Internet eXchange (PiX), is a US government-sponsored program to assist with unclassified information sharing among US government agencies and military, as well as with foreign partners. PiX helps people working on similar problem sets connect with each other in a secure space.&lt;/p&gt;
    &lt;/details&gt;</v>
      </c>
      <c r="Z193" s="1" t="str">
        <f t="shared" si="8"/>
        <v xml:space="preserve">          &lt;!-- Protected Internet eXchange (PiX) - https://pixtoday.net/ --&gt;&lt;div id='dragP04' class='catAll catDod catTech'&gt;&lt;div class='column hideMarquee' draggable='true' ondragstart='drag(event)' value='P04' id='P04'&gt;&lt;div class='armyCardContainer ssCard'&gt;&lt;div class='ssArmyCard'&gt;&lt;div&gt;&lt;p class='marquee'&gt;The Protected Internet eXchange (PiX), is a US government-sponsored program to assist with unclassified information sharing among US government agencies and military, as well as with foreign partners. PiX helps people working on similar problem sets connect with each other in a secure space.&lt;/p&gt;&lt;img src='assets/Card-136.png' class='ssCardImage' draggable='false' loading='lazy'&gt;&lt;/div&gt;&lt;div class='ssTitle'&gt;&lt;span id='P04Title'&gt;Protected Internet eXchange (PiX)&lt;/span&gt;&lt;/div&gt;&lt;/div&gt;&lt;/div&gt;&lt;/div&gt;&lt;/div&gt;&lt;script&gt;var jsP04 = document.getElementById('dragP04').innerHTML;&lt;/script&gt;</v>
      </c>
      <c r="AA193" s="1" t="str">
        <f>CONCATENATE("var js",Table1[[#This Row],[IDs]]," = document.getElementbyId('drag",Table1[[#This Row],[IDs]],"').innerHTML; //  ",Table1[[#This Row],[Site]])</f>
        <v>var jsP04 = document.getElementbyId('dragP04').innerHTML; //  Protected Internet eXchange (PiX)</v>
      </c>
    </row>
    <row r="194" spans="1:27" ht="15" x14ac:dyDescent="0.25">
      <c r="A194" t="s">
        <v>315</v>
      </c>
      <c r="B194" t="s">
        <v>315</v>
      </c>
      <c r="C194" s="8" t="s">
        <v>505</v>
      </c>
      <c r="D194" t="s">
        <v>825</v>
      </c>
      <c r="E194" t="s">
        <v>824</v>
      </c>
      <c r="F194" s="1" t="s">
        <v>316</v>
      </c>
      <c r="G194" s="1" t="s">
        <v>900</v>
      </c>
      <c r="H194" s="1" t="s">
        <v>900</v>
      </c>
      <c r="N194" s="1" t="s">
        <v>18</v>
      </c>
      <c r="W194" s="3" t="str">
        <f>CONCATENATE("var js",Table1[[#This Row],[IDs]]," = document.getElementbyId('",Table1[[#This Row],[IDs]],"').innerHTML; //  ",Table1[[#This Row],[Site]])</f>
        <v>var jsP03 = document.getElementbyId('P03').innerHTML; //  Psychological Health Center of Excellence</v>
      </c>
      <c r="X194" s="1" t="str">
        <f t="shared" si="11"/>
        <v xml:space="preserve">        &lt;!--Psychological Health Center of Excellence - https://health.mil/Military-Health-Topics/Centers-of-Excellence/Psychological-Health-Center-of-Excellence --&gt;&lt;div class='column catAll catHealth' style='margin-bottom: 0px;' id='P03'&gt;&lt;a href='https://health.mil/Military-Health-Topics/Centers-of-Excellence/Psychological-Health-Center-of-Excellence' rel='noopener noreferrer' class='column hideMarquee'&gt;&lt;div class='armyCardContainer card'&gt;&lt;div class='armyCard'&gt;&lt;div&gt;&lt;p class='marquee'&gt;The Psychological Health Center of Excellence (PHCoE) is one of the Centers of Excellence within the Research and Development Directorate of the Defense Health Agency (DHA). PHCoE collaborates across the Department of Defense (DOD) and with the Department of Veterans Affairs and other agencies to provide leadership and expertise to inform policy and drive improvements in psychological health outcomes.&lt;/p&gt;&lt;img src='assets/Card-077.png' class='cardImage' loading='lazy'&gt;&lt;/div&gt;&lt;div class='title'&gt;
          &lt;span&gt;Psychological Health Center of Excellence&lt;/span&gt;&lt;/div&gt;&lt;/div&gt;&lt;/div&gt;&lt;/a&gt;&lt;/div&gt;&lt;script&gt;var jsP03 = document.getElementById('P03').innerHTML;&lt;/script&gt;</v>
      </c>
      <c r="Y19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Psychological Health Center of Excellence - https://health.mil/Military-Health-Topics/Centers-of-Excellence/Psychological-Health-Center-of-Excellence --&gt;
      &lt;summary&gt;• &lt;a href='https://health.mil/Military-Health-Topics/Centers-of-Excellence/Psychological-Health-Center-of-Excellence' rel='noopener noreferrer'&gt;Psychological Health Center of Excellence - https://health.mil/Military-Health-Topics/Centers-of-Excellence/Psychological-Health-Center-of-Excellence&lt;/a&gt;&lt;/summary&gt;
      &lt;p&gt;The Psychological Health Center of Excellence (PHCoE) is one of the Centers of Excellence within the Research and Development Directorate of the Defense Health Agency (DHA). PHCoE collaborates across the Department of Defense (DOD) and with the Department of Veterans Affairs and other agencies to provide leadership and expertise to inform policy and drive improvements in psychological health outcomes.&lt;/p&gt;
    &lt;/details&gt;</v>
      </c>
      <c r="Z194" s="1" t="str">
        <f t="shared" ref="Z194:Z225" si="12">CONCATENATE("          &lt;!-- ",B194," - ",C194," --&gt;&lt;div id='drag",F194,"' class='catAll",IF(I194="X"," catArmySites",""),IF(J194="X"," catCombatReadiness",""),IF(K194="X"," catDod",""),IF(L194="X"," catFamily",""),IF(M194="X"," catFinance",""),IF(N194="X"," catHealth",""),IF(O194="X"," catHuman",""),IF(P194="X"," catLegal",""),IF(Q194="X"," catProDev",""),IF(R194="X"," catTech",""),IF(S194="X"," catMilEd",""),IF(T194="X"," catCivEd",""),IF(U194="X"," catUsGov",""),"'&gt;&lt;div class='column hideMarquee' draggable='true' ondragstart='drag(event)' value='",F194,"' id='",F194,"'&gt;&lt;div class='armyCardContainer ssCard'&gt;&lt;div class='ssArmyCard'&gt;&lt;div&gt;&lt;p class='marquee'&gt;",E194,"&lt;/p&gt;&lt;img src='assets/",D194,"' class='ssCardImage' draggable='false' loading='lazy'&gt;&lt;/div&gt;&lt;div class='ssTitle'&gt;&lt;span id='",F194,"Title'&gt;",A194,"&lt;/span&gt;&lt;/div&gt;&lt;/div&gt;&lt;/div&gt;&lt;/div&gt;&lt;/div&gt;&lt;script&gt;var js",F194," = document.getElementById('drag",F194,"').innerHTML;&lt;/script&gt;")</f>
        <v xml:space="preserve">          &lt;!-- Psychological Health Center of Excellence - https://health.mil/Military-Health-Topics/Centers-of-Excellence/Psychological-Health-Center-of-Excellence --&gt;&lt;div id='dragP03' class='catAll catHealth'&gt;&lt;div class='column hideMarquee' draggable='true' ondragstart='drag(event)' value='P03' id='P03'&gt;&lt;div class='armyCardContainer ssCard'&gt;&lt;div class='ssArmyCard'&gt;&lt;div&gt;&lt;p class='marquee'&gt;The Psychological Health Center of Excellence (PHCoE) is one of the Centers of Excellence within the Research and Development Directorate of the Defense Health Agency (DHA). PHCoE collaborates across the Department of Defense (DOD) and with the Department of Veterans Affairs and other agencies to provide leadership and expertise to inform policy and drive improvements in psychological health outcomes.&lt;/p&gt;&lt;img src='assets/Card-077.png' class='ssCardImage' draggable='false' loading='lazy'&gt;&lt;/div&gt;&lt;div class='ssTitle'&gt;&lt;span id='P03Title'&gt;Psychological Health Center of Excellence&lt;/span&gt;&lt;/div&gt;&lt;/div&gt;&lt;/div&gt;&lt;/div&gt;&lt;/div&gt;&lt;script&gt;var jsP03 = document.getElementById('dragP03').innerHTML;&lt;/script&gt;</v>
      </c>
      <c r="AA194" s="1" t="str">
        <f>CONCATENATE("var js",Table1[[#This Row],[IDs]]," = document.getElementbyId('drag",Table1[[#This Row],[IDs]],"').innerHTML; //  ",Table1[[#This Row],[Site]])</f>
        <v>var jsP03 = document.getElementbyId('dragP03').innerHTML; //  Psychological Health Center of Excellence</v>
      </c>
    </row>
    <row r="195" spans="1:27" ht="15" x14ac:dyDescent="0.25">
      <c r="A195" t="s">
        <v>531</v>
      </c>
      <c r="B195" t="s">
        <v>531</v>
      </c>
      <c r="C195" s="11" t="s">
        <v>520</v>
      </c>
      <c r="D195" t="s">
        <v>623</v>
      </c>
      <c r="E195" t="s">
        <v>982</v>
      </c>
      <c r="F195" s="1" t="s">
        <v>950</v>
      </c>
      <c r="G195" s="1" t="s">
        <v>900</v>
      </c>
      <c r="H195" s="1" t="s">
        <v>552</v>
      </c>
      <c r="I195" s="1" t="s">
        <v>18</v>
      </c>
      <c r="J195" s="1" t="s">
        <v>18</v>
      </c>
      <c r="W195" s="3" t="str">
        <f>CONCATENATE("var js",Table1[[#This Row],[IDs]]," = document.getElementbyId('",Table1[[#This Row],[IDs]],"').innerHTML; //  ",Table1[[#This Row],[Site]])</f>
        <v>var jsR02 = document.getElementbyId('R02').innerHTML; //  Range Facility Management Support System</v>
      </c>
      <c r="X195" s="1" t="str">
        <f t="shared" si="11"/>
        <v xml:space="preserve">        &lt;!--Range Facility Management Support System - https://rfmss.belvoir.army.mil/ --&gt;&lt;div class='column catAll catArmySites catCombatReadiness' style='margin-bottom: 0px;' id='R02'&gt;&lt;a href='https://rfmss.belvoir.army.mil/' rel='noopener noreferrer' class='column hideMarquee'&gt;&lt;div class='armyCardContainer card'&gt;&lt;div class='armyCard'&gt;&lt;div&gt;&lt;p class='marquee'&gt;The Range Facility management Support System provide users with a non-graphical remote scheduling tool that interfaces directly with RFMSS at fielded RFMSS sites. RFMSS allows determine facility availability, submit and view scheduling requests and read published Range Bulletins. Current schedules and conflicts are displayed in the Two-Week view.&lt;/p&gt;&lt;img src='assets/CaCRequired.png' title='A CAC is required to use some or all features of this site!' Class='cacLocked'&gt;&lt;img src='assets/Card-001.png' class='cardImage' loading='lazy'&gt;&lt;/div&gt;&lt;div class='title'&gt;
          &lt;span&gt;Range Facility Management Support System&lt;/span&gt;&lt;/div&gt;&lt;/div&gt;&lt;/div&gt;&lt;/a&gt;&lt;/div&gt;&lt;script&gt;var jsR02 = document.getElementById('R02').innerHTML;&lt;/script&gt;</v>
      </c>
      <c r="Y19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Range Facility Management Support System - https://rfmss.belvoir.army.mil/ --&gt;
      &lt;summary&gt;• &lt;a href='https://rfmss.belvoir.army.mil/' rel='noopener noreferrer'&gt;Range Facility Management Support System - https://rfmss.belvoir.army.mil/&lt;/a&gt;&lt;/summary&gt;
      &lt;p&gt;The Range Facility management Support System provide users with a non-graphical remote scheduling tool that interfaces directly with RFMSS at fielded RFMSS sites. RFMSS allows determine facility availability, submit and view scheduling requests and read published Range Bulletins. Current schedules and conflicts are displayed in the Two-Week view.&lt;/p&gt;
    &lt;/details&gt;</v>
      </c>
      <c r="Z195" s="1" t="str">
        <f t="shared" si="12"/>
        <v xml:space="preserve">          &lt;!-- Range Facility Management Support System - https://rfmss.belvoir.army.mil/ --&gt;&lt;div id='dragR02' class='catAll catArmySites catCombatReadiness'&gt;&lt;div class='column hideMarquee' draggable='true' ondragstart='drag(event)' value='R02' id='R02'&gt;&lt;div class='armyCardContainer ssCard'&gt;&lt;div class='ssArmyCard'&gt;&lt;div&gt;&lt;p class='marquee'&gt;The Range Facility management Support System provide users with a non-graphical remote scheduling tool that interfaces directly with RFMSS at fielded RFMSS sites. RFMSS allows determine facility availability, submit and view scheduling requests and read published Range Bulletins. Current schedules and conflicts are displayed in the Two-Week view.&lt;/p&gt;&lt;img src='assets/Card-001.png' class='ssCardImage' draggable='false' loading='lazy'&gt;&lt;/div&gt;&lt;div class='ssTitle'&gt;&lt;span id='R02Title'&gt;Range Facility Management Support System&lt;/span&gt;&lt;/div&gt;&lt;/div&gt;&lt;/div&gt;&lt;/div&gt;&lt;/div&gt;&lt;script&gt;var jsR02 = document.getElementById('dragR02').innerHTML;&lt;/script&gt;</v>
      </c>
      <c r="AA195" s="1" t="str">
        <f>CONCATENATE("var js",Table1[[#This Row],[IDs]]," = document.getElementbyId('drag",Table1[[#This Row],[IDs]],"').innerHTML; //  ",Table1[[#This Row],[Site]])</f>
        <v>var jsR02 = document.getElementbyId('dragR02').innerHTML; //  Range Facility Management Support System</v>
      </c>
    </row>
    <row r="196" spans="1:27" ht="15" x14ac:dyDescent="0.25">
      <c r="A196" t="s">
        <v>884</v>
      </c>
      <c r="B196" t="s">
        <v>884</v>
      </c>
      <c r="C196" s="1" t="s">
        <v>448</v>
      </c>
      <c r="D196" t="s">
        <v>831</v>
      </c>
      <c r="E196" t="s">
        <v>832</v>
      </c>
      <c r="F196" s="1" t="s">
        <v>436</v>
      </c>
      <c r="G196" s="1" t="s">
        <v>900</v>
      </c>
      <c r="H196" s="1" t="s">
        <v>552</v>
      </c>
      <c r="K196" s="1" t="s">
        <v>18</v>
      </c>
      <c r="O196" s="1" t="s">
        <v>18</v>
      </c>
      <c r="R196" s="1" t="s">
        <v>18</v>
      </c>
      <c r="W196" s="3" t="str">
        <f>CONCATENATE("var js",Table1[[#This Row],[IDs]]," = document.getElementbyId('",Table1[[#This Row],[IDs]],"').innerHTML; //  ",Table1[[#This Row],[Site]])</f>
        <v>var jsR01 = document.getElementbyId('R01').innerHTML; //  RAPIDS ID Card Office</v>
      </c>
      <c r="X196" s="1" t="str">
        <f t="shared" si="11"/>
        <v xml:space="preserve">        &lt;!--RAPIDS ID Card Office - https://idco.dmdc.osd.mil/idco/ --&gt;&lt;div class='column catAll catDod catHuman catTech' style='margin-bottom: 0px;' id='R01'&gt;&lt;a href='https://idco.dmdc.osd.mil/idco/' rel='noopener noreferrer' class='column hideMarquee'&gt;&lt;div class='armyCardContainer card'&gt;&lt;div class='armyCard'&gt;&lt;div&gt;&lt;p class='marquee'&gt;RAPIDS ID Card Office allows you to schedule any CAC or ID card services appointment as well as manage some of your CAC information (Such as current address).&lt;/p&gt;&lt;img src='assets/CaCRequired.png' title='A CAC is required to use some or all features of this site!' Class='cacLocked'&gt;&lt;img src='assets/Card-142.jpg' class='cardImage' loading='lazy'&gt;&lt;/div&gt;&lt;div class='title'&gt;
          &lt;span&gt;RAPIDS ID Card Office&lt;/span&gt;&lt;/div&gt;&lt;/div&gt;&lt;/div&gt;&lt;/a&gt;&lt;/div&gt;&lt;script&gt;var jsR01 = document.getElementById('R01').innerHTML;&lt;/script&gt;</v>
      </c>
      <c r="Y19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RAPIDS ID Card Office - https://idco.dmdc.osd.mil/idco/ --&gt;
      &lt;summary&gt;• &lt;a href='https://idco.dmdc.osd.mil/idco/' rel='noopener noreferrer'&gt;RAPIDS ID Card Office - https://idco.dmdc.osd.mil/idco/&lt;/a&gt;&lt;/summary&gt;
      &lt;p&gt;RAPIDS ID Card Office allows you to schedule any CAC or ID card services appointment as well as manage some of your CAC information (Such as current address).&lt;/p&gt;
    &lt;/details&gt;</v>
      </c>
      <c r="Z196" s="1" t="str">
        <f t="shared" si="12"/>
        <v xml:space="preserve">          &lt;!-- RAPIDS ID Card Office - https://idco.dmdc.osd.mil/idco/ --&gt;&lt;div id='dragR01' class='catAll catDod catHuman catTech'&gt;&lt;div class='column hideMarquee' draggable='true' ondragstart='drag(event)' value='R01' id='R01'&gt;&lt;div class='armyCardContainer ssCard'&gt;&lt;div class='ssArmyCard'&gt;&lt;div&gt;&lt;p class='marquee'&gt;RAPIDS ID Card Office allows you to schedule any CAC or ID card services appointment as well as manage some of your CAC information (Such as current address).&lt;/p&gt;&lt;img src='assets/Card-142.jpg' class='ssCardImage' draggable='false' loading='lazy'&gt;&lt;/div&gt;&lt;div class='ssTitle'&gt;&lt;span id='R01Title'&gt;RAPIDS ID Card Office&lt;/span&gt;&lt;/div&gt;&lt;/div&gt;&lt;/div&gt;&lt;/div&gt;&lt;/div&gt;&lt;script&gt;var jsR01 = document.getElementById('dragR01').innerHTML;&lt;/script&gt;</v>
      </c>
      <c r="AA196" s="1" t="str">
        <f>CONCATENATE("var js",Table1[[#This Row],[IDs]]," = document.getElementbyId('drag",Table1[[#This Row],[IDs]],"').innerHTML; //  ",Table1[[#This Row],[Site]])</f>
        <v>var jsR01 = document.getElementbyId('dragR01').innerHTML; //  RAPIDS ID Card Office</v>
      </c>
    </row>
    <row r="197" spans="1:27" ht="15" x14ac:dyDescent="0.25">
      <c r="A197" t="s">
        <v>880</v>
      </c>
      <c r="B197" t="s">
        <v>880</v>
      </c>
      <c r="C197" s="12" t="s">
        <v>881</v>
      </c>
      <c r="D197" t="s">
        <v>978</v>
      </c>
      <c r="E197" s="14" t="s">
        <v>980</v>
      </c>
      <c r="F197" s="1" t="s">
        <v>951</v>
      </c>
      <c r="G197" s="1" t="s">
        <v>900</v>
      </c>
      <c r="H197" s="1" t="s">
        <v>900</v>
      </c>
      <c r="I197" s="1" t="s">
        <v>18</v>
      </c>
      <c r="L197" s="1" t="s">
        <v>18</v>
      </c>
      <c r="W197" s="3" t="str">
        <f>CONCATENATE("var js",Table1[[#This Row],[IDs]]," = document.getElementbyId('",Table1[[#This Row],[IDs]],"').innerHTML; //  ",Table1[[#This Row],[Site]])</f>
        <v>var jsR03 = document.getElementbyId('R03').innerHTML; //  Ready Army</v>
      </c>
      <c r="X197" s="1" t="str">
        <f t="shared" si="11"/>
        <v xml:space="preserve">        &lt;!--Ready Army - https://ready.army.mil/ --&gt;&lt;div class='column catAll catArmySites catFamily' style='margin-bottom: 0px;' id='R03'&gt;&lt;a href='https://ready.army.mil/' rel='noopener noreferrer' class='column hideMarquee'&gt;&lt;div class='armyCardContainer card'&gt;&lt;div class='armyCard'&gt;&lt;div&gt;&lt;p class='marquee'&gt;Ready Army seeks to inform the Army community of all hazards and to provide targeted preparedness information to Soldiers, their Families, Civilians and contractors worldwide.&lt;/p&gt;&lt;img src='assets/Card-170.png' class='cardImage' loading='lazy'&gt;&lt;/div&gt;&lt;div class='title'&gt;
          &lt;span&gt;Ready Army&lt;/span&gt;&lt;/div&gt;&lt;/div&gt;&lt;/div&gt;&lt;/a&gt;&lt;/div&gt;&lt;script&gt;var jsR03 = document.getElementById('R03').innerHTML;&lt;/script&gt;</v>
      </c>
      <c r="Y19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Ready Army - https://ready.army.mil/ --&gt;
      &lt;summary&gt;• &lt;a href='https://ready.army.mil/' rel='noopener noreferrer'&gt;Ready Army - https://ready.army.mil/&lt;/a&gt;&lt;/summary&gt;
      &lt;p&gt;Ready Army seeks to inform the Army community of all hazards and to provide targeted preparedness information to Soldiers, their Families, Civilians and contractors worldwide.&lt;/p&gt;
    &lt;/details&gt;</v>
      </c>
      <c r="Z197" s="1" t="str">
        <f t="shared" si="12"/>
        <v xml:space="preserve">          &lt;!-- Ready Army - https://ready.army.mil/ --&gt;&lt;div id='dragR03' class='catAll catArmySites catFamily'&gt;&lt;div class='column hideMarquee' draggable='true' ondragstart='drag(event)' value='R03' id='R03'&gt;&lt;div class='armyCardContainer ssCard'&gt;&lt;div class='ssArmyCard'&gt;&lt;div&gt;&lt;p class='marquee'&gt;Ready Army seeks to inform the Army community of all hazards and to provide targeted preparedness information to Soldiers, their Families, Civilians and contractors worldwide.&lt;/p&gt;&lt;img src='assets/Card-170.png' class='ssCardImage' draggable='false' loading='lazy'&gt;&lt;/div&gt;&lt;div class='ssTitle'&gt;&lt;span id='R03Title'&gt;Ready Army&lt;/span&gt;&lt;/div&gt;&lt;/div&gt;&lt;/div&gt;&lt;/div&gt;&lt;/div&gt;&lt;script&gt;var jsR03 = document.getElementById('dragR03').innerHTML;&lt;/script&gt;</v>
      </c>
      <c r="AA197" s="1" t="str">
        <f>CONCATENATE("var js",Table1[[#This Row],[IDs]]," = document.getElementbyId('drag",Table1[[#This Row],[IDs]],"').innerHTML; //  ",Table1[[#This Row],[Site]])</f>
        <v>var jsR03 = document.getElementbyId('dragR03').innerHTML; //  Ready Army</v>
      </c>
    </row>
    <row r="198" spans="1:27" ht="15" x14ac:dyDescent="0.25">
      <c r="A198" t="s">
        <v>317</v>
      </c>
      <c r="B198" t="s">
        <v>317</v>
      </c>
      <c r="C198" s="1" t="s">
        <v>318</v>
      </c>
      <c r="D198" t="s">
        <v>830</v>
      </c>
      <c r="E198" t="s">
        <v>829</v>
      </c>
      <c r="F198" s="1" t="s">
        <v>319</v>
      </c>
      <c r="G198" s="1" t="s">
        <v>552</v>
      </c>
      <c r="H198" s="1" t="s">
        <v>552</v>
      </c>
      <c r="J198" s="1" t="s">
        <v>18</v>
      </c>
      <c r="W198" s="3" t="str">
        <f>CONCATENATE("var js",Table1[[#This Row],[IDs]]," = document.getElementbyId('",Table1[[#This Row],[IDs]],"').innerHTML; //  ",Table1[[#This Row],[Site]])</f>
        <v>var jsR00 = document.getElementbyId('R00').innerHTML; //  Risk Management Information System (RMIS)</v>
      </c>
      <c r="X198" s="1" t="str">
        <f t="shared" si="11"/>
        <v xml:space="preserve">        &lt;!--Risk Management Information System (RMIS) - https://rmis.safety.army.mil/ --&gt;&lt;div class='column catAll catCombatReadiness' style='margin-bottom: 0px;' id='R00'&gt;&lt;a href='https://rmis.safety.army.mil/' rel='noopener noreferrer' class='column hideMarquee'&gt;&lt;div class='armyCardContainer card'&gt;&lt;div class='armyCard'&gt;&lt;div&gt;&lt;p class='marquee'&gt;A risk management information system (RMIS) is an information system that assists in consolidating property values, claims, policy, and exposure information and providing the tracking and management reporting capabilities to enable the user to monitor and control the overall cost of risk management.&lt;/p&gt;&lt;img src='assets/CaCRequired.png' title='A CAC is required to use some or all features of this site!' Class='cacLocked'&gt;&lt;img src='assets/DODlock.png' title='This Site requires a DoD network connection to be used!' Class='dodLocked'&gt;&lt;img src='assets/Card-079.png' class='cardImage' loading='lazy'&gt;&lt;/div&gt;&lt;div class='title'&gt;
          &lt;span&gt;Risk Management Information System (RMIS)&lt;/span&gt;&lt;/div&gt;&lt;/div&gt;&lt;/div&gt;&lt;/a&gt;&lt;/div&gt;&lt;script&gt;var jsR00 = document.getElementById('R00').innerHTML;&lt;/script&gt;</v>
      </c>
      <c r="Y19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Risk Management Information System (RMIS) - https://rmis.safety.army.mil/ --&gt;
      &lt;summary&gt;• &lt;a href='https://rmis.safety.army.mil/' rel='noopener noreferrer'&gt;Risk Management Information System (RMIS) - https://rmis.safety.army.mil/&lt;/a&gt;&lt;/summary&gt;
      &lt;p&gt;A risk management information system (RMIS) is an information system that assists in consolidating property values, claims, policy, and exposure information and providing the tracking and management reporting capabilities to enable the user to monitor and control the overall cost of risk management.&lt;/p&gt;
    &lt;/details&gt;</v>
      </c>
      <c r="Z198" s="1" t="str">
        <f t="shared" si="12"/>
        <v xml:space="preserve">          &lt;!-- Risk Management Information System (RMIS) - https://rmis.safety.army.mil/ --&gt;&lt;div id='dragR00' class='catAll catCombatReadiness'&gt;&lt;div class='column hideMarquee' draggable='true' ondragstart='drag(event)' value='R00' id='R00'&gt;&lt;div class='armyCardContainer ssCard'&gt;&lt;div class='ssArmyCard'&gt;&lt;div&gt;&lt;p class='marquee'&gt;A risk management information system (RMIS) is an information system that assists in consolidating property values, claims, policy, and exposure information and providing the tracking and management reporting capabilities to enable the user to monitor and control the overall cost of risk management.&lt;/p&gt;&lt;img src='assets/Card-079.png' class='ssCardImage' draggable='false' loading='lazy'&gt;&lt;/div&gt;&lt;div class='ssTitle'&gt;&lt;span id='R00Title'&gt;Risk Management Information System (RMIS)&lt;/span&gt;&lt;/div&gt;&lt;/div&gt;&lt;/div&gt;&lt;/div&gt;&lt;/div&gt;&lt;script&gt;var jsR00 = document.getElementById('dragR00').innerHTML;&lt;/script&gt;</v>
      </c>
      <c r="AA198" s="1" t="str">
        <f>CONCATENATE("var js",Table1[[#This Row],[IDs]]," = document.getElementbyId('drag",Table1[[#This Row],[IDs]],"').innerHTML; //  ",Table1[[#This Row],[Site]])</f>
        <v>var jsR00 = document.getElementbyId('dragR00').innerHTML; //  Risk Management Information System (RMIS)</v>
      </c>
    </row>
    <row r="199" spans="1:27" ht="15" x14ac:dyDescent="0.25">
      <c r="A199" t="s">
        <v>420</v>
      </c>
      <c r="B199" t="s">
        <v>420</v>
      </c>
      <c r="C199" s="8" t="s">
        <v>421</v>
      </c>
      <c r="D199" t="s">
        <v>642</v>
      </c>
      <c r="E199" t="s">
        <v>833</v>
      </c>
      <c r="F199" s="1" t="s">
        <v>423</v>
      </c>
      <c r="G199" s="1" t="s">
        <v>900</v>
      </c>
      <c r="H199" s="1" t="s">
        <v>552</v>
      </c>
      <c r="N199" s="1" t="s">
        <v>18</v>
      </c>
      <c r="O199" s="1" t="s">
        <v>18</v>
      </c>
      <c r="W199" s="3" t="str">
        <f>CONCATENATE("var js",Table1[[#This Row],[IDs]]," = document.getElementbyId('",Table1[[#This Row],[IDs]],"').innerHTML; //  ",Table1[[#This Row],[Site]])</f>
        <v>var jsS06 = document.getElementbyId('S06').innerHTML; //  S1 Net</v>
      </c>
      <c r="X199" s="1" t="str">
        <f t="shared" si="11"/>
        <v xml:space="preserve">        &lt;!--S1 Net - https://www.milsuite.mil/book/community/spaces/apf/s1net --&gt;&lt;div class='column catAll catHealth catHuman' style='margin-bottom: 0px;' id='S06'&gt;&lt;a href='https://www.milsuite.mil/book/community/spaces/apf/s1net' rel='noopener noreferrer' class='column hideMarquee'&gt;&lt;div class='armyCardContainer card'&gt;&lt;div class='armyCard'&gt;&lt;div&gt;&lt;p class='marquee'&gt;S1Net connects HR professionals with a common focus of solving critical problems faced by the professional in the field, and in doing so, develop and archive the tools, insights and approaches needed by members.&lt;/p&gt;&lt;img src='assets/CaCRequired.png' title='A CAC is required to use some or all features of this site!' Class='cacLocked'&gt;&lt;img src='assets/Card-008.jpg' class='cardImage' loading='lazy'&gt;&lt;/div&gt;&lt;div class='title'&gt;
          &lt;span&gt;S1 Net&lt;/span&gt;&lt;/div&gt;&lt;/div&gt;&lt;/div&gt;&lt;/a&gt;&lt;/div&gt;&lt;script&gt;var jsS06 = document.getElementById('S06').innerHTML;&lt;/script&gt;</v>
      </c>
      <c r="Y19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S1 Net - https://www.milsuite.mil/book/community/spaces/apf/s1net --&gt;
      &lt;summary&gt;• &lt;a href='https://www.milsuite.mil/book/community/spaces/apf/s1net' rel='noopener noreferrer'&gt;S1 Net - https://www.milsuite.mil/book/community/spaces/apf/s1net&lt;/a&gt;&lt;/summary&gt;
      &lt;p&gt;S1Net connects HR professionals with a common focus of solving critical problems faced by the professional in the field, and in doing so, develop and archive the tools, insights and approaches needed by members.&lt;/p&gt;
    &lt;/details&gt;</v>
      </c>
      <c r="Z199" s="1" t="str">
        <f t="shared" si="12"/>
        <v xml:space="preserve">          &lt;!-- S1 Net - https://www.milsuite.mil/book/community/spaces/apf/s1net --&gt;&lt;div id='dragS06' class='catAll catHealth catHuman'&gt;&lt;div class='column hideMarquee' draggable='true' ondragstart='drag(event)' value='S06' id='S06'&gt;&lt;div class='armyCardContainer ssCard'&gt;&lt;div class='ssArmyCard'&gt;&lt;div&gt;&lt;p class='marquee'&gt;S1Net connects HR professionals with a common focus of solving critical problems faced by the professional in the field, and in doing so, develop and archive the tools, insights and approaches needed by members.&lt;/p&gt;&lt;img src='assets/Card-008.jpg' class='ssCardImage' draggable='false' loading='lazy'&gt;&lt;/div&gt;&lt;div class='ssTitle'&gt;&lt;span id='S06Title'&gt;S1 Net&lt;/span&gt;&lt;/div&gt;&lt;/div&gt;&lt;/div&gt;&lt;/div&gt;&lt;/div&gt;&lt;script&gt;var jsS06 = document.getElementById('dragS06').innerHTML;&lt;/script&gt;</v>
      </c>
      <c r="AA199" s="1" t="str">
        <f>CONCATENATE("var js",Table1[[#This Row],[IDs]]," = document.getElementbyId('drag",Table1[[#This Row],[IDs]],"').innerHTML; //  ",Table1[[#This Row],[Site]])</f>
        <v>var jsS06 = document.getElementbyId('dragS06').innerHTML; //  S1 Net</v>
      </c>
    </row>
    <row r="200" spans="1:27" ht="15" x14ac:dyDescent="0.25">
      <c r="A200" t="s">
        <v>320</v>
      </c>
      <c r="B200" t="s">
        <v>320</v>
      </c>
      <c r="C200" s="1" t="s">
        <v>321</v>
      </c>
      <c r="D200" t="s">
        <v>677</v>
      </c>
      <c r="E200" t="s">
        <v>834</v>
      </c>
      <c r="F200" s="1" t="s">
        <v>322</v>
      </c>
      <c r="G200" s="1" t="s">
        <v>900</v>
      </c>
      <c r="H200" s="1" t="s">
        <v>552</v>
      </c>
      <c r="N200" s="1" t="s">
        <v>18</v>
      </c>
      <c r="W200" s="3" t="str">
        <f>CONCATENATE("var js",Table1[[#This Row],[IDs]]," = document.getElementbyId('",Table1[[#This Row],[IDs]],"').innerHTML; //  ",Table1[[#This Row],[Site]])</f>
        <v>var jsS00 = document.getElementbyId('S00').innerHTML; //  Service members' Group Life Insurance (SGLI)</v>
      </c>
      <c r="X200" s="1" t="str">
        <f t="shared" si="11"/>
        <v xml:space="preserve">        &lt;!--Service members' Group Life Insurance (SGLI) - https://milconnect-pki.dmdc.osd.mil/milconnect/public/goto/soes --&gt;&lt;div class='column catAll catHealth' style='margin-bottom: 0px;' id='S00'&gt;&lt;a href='https://milconnect-pki.dmdc.osd.mil/milconnect/public/goto/soes' rel='noopener noreferrer' class='column hideMarquee'&gt;&lt;div class='armyCardContainer card'&gt;&lt;div class='armyCard'&gt;&lt;div&gt;&lt;p class='marquee'&gt;Service Members’ Group Life Insurance (SGLI) offers low-cost term coverage to eligible service members. If you’re a service member who meets certain criteria, we’ll automatically sign you up. You are automatically insured for the maximum coverage of $400,000, unless you have reduced, canceled, or declined coverage.&lt;/p&gt;&lt;img src='assets/CaCRequired.png' title='A CAC is required to use some or all features of this site!' Class='cacLocked'&gt;&lt;img src='assets/Card-034.png' class='cardImage' loading='lazy'&gt;&lt;/div&gt;&lt;div class='title'&gt;
          &lt;span&gt;Service members' Group Life Insurance (SGLI)&lt;/span&gt;&lt;/div&gt;&lt;/div&gt;&lt;/div&gt;&lt;/a&gt;&lt;/div&gt;&lt;script&gt;var jsS00 = document.getElementById('S00').innerHTML;&lt;/script&gt;</v>
      </c>
      <c r="Y20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Service members' Group Life Insurance (SGLI) - https://milconnect-pki.dmdc.osd.mil/milconnect/public/goto/soes --&gt;
      &lt;summary&gt;• &lt;a href='https://milconnect-pki.dmdc.osd.mil/milconnect/public/goto/soes' rel='noopener noreferrer'&gt;Service members' Group Life Insurance (SGLI) - https://milconnect-pki.dmdc.osd.mil/milconnect/public/goto/soes&lt;/a&gt;&lt;/summary&gt;
      &lt;p&gt;Service Members’ Group Life Insurance (SGLI) offers low-cost term coverage to eligible service members. If you’re a service member who meets certain criteria, we’ll automatically sign you up. You are automatically insured for the maximum coverage of $400,000, unless you have reduced, canceled, or declined coverage.&lt;/p&gt;
    &lt;/details&gt;</v>
      </c>
      <c r="Z200" s="1" t="str">
        <f t="shared" si="12"/>
        <v xml:space="preserve">          &lt;!-- Service members' Group Life Insurance (SGLI) - https://milconnect-pki.dmdc.osd.mil/milconnect/public/goto/soes --&gt;&lt;div id='dragS00' class='catAll catHealth'&gt;&lt;div class='column hideMarquee' draggable='true' ondragstart='drag(event)' value='S00' id='S00'&gt;&lt;div class='armyCardContainer ssCard'&gt;&lt;div class='ssArmyCard'&gt;&lt;div&gt;&lt;p class='marquee'&gt;Service Members’ Group Life Insurance (SGLI) offers low-cost term coverage to eligible service members. If you’re a service member who meets certain criteria, we’ll automatically sign you up. You are automatically insured for the maximum coverage of $400,000, unless you have reduced, canceled, or declined coverage.&lt;/p&gt;&lt;img src='assets/Card-034.png' class='ssCardImage' draggable='false' loading='lazy'&gt;&lt;/div&gt;&lt;div class='ssTitle'&gt;&lt;span id='S00Title'&gt;Service members' Group Life Insurance (SGLI)&lt;/span&gt;&lt;/div&gt;&lt;/div&gt;&lt;/div&gt;&lt;/div&gt;&lt;/div&gt;&lt;script&gt;var jsS00 = document.getElementById('dragS00').innerHTML;&lt;/script&gt;</v>
      </c>
      <c r="AA200" s="1" t="str">
        <f>CONCATENATE("var js",Table1[[#This Row],[IDs]]," = document.getElementbyId('drag",Table1[[#This Row],[IDs]],"').innerHTML; //  ",Table1[[#This Row],[Site]])</f>
        <v>var jsS00 = document.getElementbyId('dragS00').innerHTML; //  Service members' Group Life Insurance (SGLI)</v>
      </c>
    </row>
    <row r="201" spans="1:27" ht="15" x14ac:dyDescent="0.25">
      <c r="A201" t="s">
        <v>323</v>
      </c>
      <c r="B201" t="s">
        <v>323</v>
      </c>
      <c r="C201" s="12" t="s">
        <v>927</v>
      </c>
      <c r="D201" t="s">
        <v>836</v>
      </c>
      <c r="E201" t="s">
        <v>835</v>
      </c>
      <c r="F201" s="1" t="s">
        <v>324</v>
      </c>
      <c r="G201" s="1" t="s">
        <v>900</v>
      </c>
      <c r="H201" s="1" t="s">
        <v>900</v>
      </c>
      <c r="I201" s="1" t="s">
        <v>18</v>
      </c>
      <c r="N201" s="1" t="s">
        <v>18</v>
      </c>
      <c r="W201" s="3" t="str">
        <f>CONCATENATE("var js",Table1[[#This Row],[IDs]]," = document.getElementbyId('",Table1[[#This Row],[IDs]],"').innerHTML; //  ",Table1[[#This Row],[Site]])</f>
        <v>var jsS01 = document.getElementbyId('S01').innerHTML; //  Sexual Harassment Assault Response and Prevention</v>
      </c>
      <c r="X201" s="1" t="str">
        <f t="shared" si="11"/>
        <v xml:space="preserve">        &lt;!--Sexual Harassment Assault Response and Prevention - https://www.armyresilience.army.mil/sharp/ --&gt;&lt;div class='column catAll catArmySites catHealth' style='margin-bottom: 0px;' id='S01'&gt;&lt;a href='https://www.armyresilience.army.mil/sharp/' rel='noopener noreferrer' class='column hideMarquee'&gt;&lt;div class='armyCardContainer card'&gt;&lt;div class='armyCard'&gt;&lt;div&gt;&lt;p class='marquee'&gt;The Army's Sexual Harassment/Assault Response and Prevention program, known as SHARP, exists so the Army can prevent sexual harassment and sexual assaults before they occur. Their goal is to eliminate sexual assaults and sexual harassment by creating a climate that respects the dignity of every member of the Army family. Additionally, they strive to:&lt;br&gt;1) Reduce the stigma of reporting&lt;br&gt;2) Protect the victim&lt;br&gt;3) Increase prevention, investigation, prosecution and victim care capabilities&lt;br&gt;4) Increase training and resources&lt;br&gt;5) Refine and sustain response capability&lt;/p&gt;&lt;img src='assets/Card-064.png' class='cardImage' loading='lazy'&gt;&lt;/div&gt;&lt;div class='title'&gt;
          &lt;span&gt;Sexual Harassment Assault Response and Prevention&lt;/span&gt;&lt;/div&gt;&lt;/div&gt;&lt;/div&gt;&lt;/a&gt;&lt;/div&gt;&lt;script&gt;var jsS01 = document.getElementById('S01').innerHTML;&lt;/script&gt;</v>
      </c>
      <c r="Y20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Sexual Harassment Assault Response and Prevention - https://www.armyresilience.army.mil/sharp/ --&gt;
      &lt;summary&gt;• &lt;a href='https://www.armyresilience.army.mil/sharp/' rel='noopener noreferrer'&gt;Sexual Harassment Assault Response and Prevention - https://www.armyresilience.army.mil/sharp/&lt;/a&gt;&lt;/summary&gt;
      &lt;p&gt;The Army's Sexual Harassment/Assault Response and Prevention program, known as SHARP, exists so the Army can prevent sexual harassment and sexual assaults before they occur. Their goal is to eliminate sexual assaults and sexual harassment by creating a climate that respects the dignity of every member of the Army family. Additionally, they strive to:&lt;br&gt;1) Reduce the stigma of reporting&lt;br&gt;2) Protect the victim&lt;br&gt;3) Increase prevention, investigation, prosecution and victim care capabilities&lt;br&gt;4) Increase training and resources&lt;br&gt;5) Refine and sustain response capability&lt;/p&gt;
    &lt;/details&gt;</v>
      </c>
      <c r="Z201" s="1" t="str">
        <f t="shared" si="12"/>
        <v xml:space="preserve">          &lt;!-- Sexual Harassment Assault Response and Prevention - https://www.armyresilience.army.mil/sharp/ --&gt;&lt;div id='dragS01' class='catAll catArmySites catHealth'&gt;&lt;div class='column hideMarquee' draggable='true' ondragstart='drag(event)' value='S01' id='S01'&gt;&lt;div class='armyCardContainer ssCard'&gt;&lt;div class='ssArmyCard'&gt;&lt;div&gt;&lt;p class='marquee'&gt;The Army's Sexual Harassment/Assault Response and Prevention program, known as SHARP, exists so the Army can prevent sexual harassment and sexual assaults before they occur. Their goal is to eliminate sexual assaults and sexual harassment by creating a climate that respects the dignity of every member of the Army family. Additionally, they strive to:&lt;br&gt;1) Reduce the stigma of reporting&lt;br&gt;2) Protect the victim&lt;br&gt;3) Increase prevention, investigation, prosecution and victim care capabilities&lt;br&gt;4) Increase training and resources&lt;br&gt;5) Refine and sustain response capability&lt;/p&gt;&lt;img src='assets/Card-064.png' class='ssCardImage' draggable='false' loading='lazy'&gt;&lt;/div&gt;&lt;div class='ssTitle'&gt;&lt;span id='S01Title'&gt;Sexual Harassment Assault Response and Prevention&lt;/span&gt;&lt;/div&gt;&lt;/div&gt;&lt;/div&gt;&lt;/div&gt;&lt;/div&gt;&lt;script&gt;var jsS01 = document.getElementById('dragS01').innerHTML;&lt;/script&gt;</v>
      </c>
      <c r="AA201" s="1" t="str">
        <f>CONCATENATE("var js",Table1[[#This Row],[IDs]]," = document.getElementbyId('drag",Table1[[#This Row],[IDs]],"').innerHTML; //  ",Table1[[#This Row],[Site]])</f>
        <v>var jsS01 = document.getElementbyId('dragS01').innerHTML; //  Sexual Harassment Assault Response and Prevention</v>
      </c>
    </row>
    <row r="202" spans="1:27" ht="15" x14ac:dyDescent="0.25">
      <c r="A202" t="s">
        <v>325</v>
      </c>
      <c r="B202" t="s">
        <v>325</v>
      </c>
      <c r="C202" s="12" t="s">
        <v>491</v>
      </c>
      <c r="D202" t="s">
        <v>838</v>
      </c>
      <c r="E202" t="s">
        <v>837</v>
      </c>
      <c r="F202" s="1" t="s">
        <v>326</v>
      </c>
      <c r="G202" s="1" t="s">
        <v>900</v>
      </c>
      <c r="H202" s="1" t="s">
        <v>900</v>
      </c>
      <c r="I202" s="1" t="s">
        <v>18</v>
      </c>
      <c r="J202" s="1" t="s">
        <v>18</v>
      </c>
      <c r="W202" s="3" t="str">
        <f>CONCATENATE("var js",Table1[[#This Row],[IDs]]," = document.getElementbyId('",Table1[[#This Row],[IDs]],"').innerHTML; //  ",Table1[[#This Row],[Site]])</f>
        <v>var jsS02 = document.getElementbyId('S02').innerHTML; //  Soldier Enhancement Program</v>
      </c>
      <c r="X202" s="1" t="str">
        <f t="shared" si="11"/>
        <v xml:space="preserve">        &lt;!--Soldier Enhancement Program - https://www.peosoldier.army.mil/SEP/ --&gt;&lt;div class='column catAll catArmySites catCombatReadiness' style='margin-bottom: 0px;' id='S02'&gt;&lt;a href='https://www.peosoldier.army.mil/SEP/' rel='noopener noreferrer' class='column hideMarquee'&gt;&lt;div class='armyCardContainer card'&gt;&lt;div class='armyCard'&gt;&lt;div&gt;&lt;p class='marquee'&gt;The Soldier Enhancement Program (SEP) is an enduring process designed to help the Army move at 'the Speed of Industry' to evaluate and type classify existing prototypes or commercially available items that will enhance Soldiers' ability to execute their combat mission.&lt;/p&gt;&lt;img src='assets/Card-046.png' class='cardImage' loading='lazy'&gt;&lt;/div&gt;&lt;div class='title'&gt;
          &lt;span&gt;Soldier Enhancement Program&lt;/span&gt;&lt;/div&gt;&lt;/div&gt;&lt;/div&gt;&lt;/a&gt;&lt;/div&gt;&lt;script&gt;var jsS02 = document.getElementById('S02').innerHTML;&lt;/script&gt;</v>
      </c>
      <c r="Y20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Soldier Enhancement Program - https://www.peosoldier.army.mil/SEP/ --&gt;
      &lt;summary&gt;• &lt;a href='https://www.peosoldier.army.mil/SEP/' rel='noopener noreferrer'&gt;Soldier Enhancement Program - https://www.peosoldier.army.mil/SEP/&lt;/a&gt;&lt;/summary&gt;
      &lt;p&gt;The Soldier Enhancement Program (SEP) is an enduring process designed to help the Army move at 'the Speed of Industry' to evaluate and type classify existing prototypes or commercially available items that will enhance Soldiers' ability to execute their combat mission.&lt;/p&gt;
    &lt;/details&gt;</v>
      </c>
      <c r="Z202" s="1" t="str">
        <f t="shared" si="12"/>
        <v xml:space="preserve">          &lt;!-- Soldier Enhancement Program - https://www.peosoldier.army.mil/SEP/ --&gt;&lt;div id='dragS02' class='catAll catArmySites catCombatReadiness'&gt;&lt;div class='column hideMarquee' draggable='true' ondragstart='drag(event)' value='S02' id='S02'&gt;&lt;div class='armyCardContainer ssCard'&gt;&lt;div class='ssArmyCard'&gt;&lt;div&gt;&lt;p class='marquee'&gt;The Soldier Enhancement Program (SEP) is an enduring process designed to help the Army move at 'the Speed of Industry' to evaluate and type classify existing prototypes or commercially available items that will enhance Soldiers' ability to execute their combat mission.&lt;/p&gt;&lt;img src='assets/Card-046.png' class='ssCardImage' draggable='false' loading='lazy'&gt;&lt;/div&gt;&lt;div class='ssTitle'&gt;&lt;span id='S02Title'&gt;Soldier Enhancement Program&lt;/span&gt;&lt;/div&gt;&lt;/div&gt;&lt;/div&gt;&lt;/div&gt;&lt;/div&gt;&lt;script&gt;var jsS02 = document.getElementById('dragS02').innerHTML;&lt;/script&gt;</v>
      </c>
      <c r="AA202" s="1" t="str">
        <f>CONCATENATE("var js",Table1[[#This Row],[IDs]]," = document.getElementbyId('drag",Table1[[#This Row],[IDs]],"').innerHTML; //  ",Table1[[#This Row],[Site]])</f>
        <v>var jsS02 = document.getElementbyId('dragS02').innerHTML; //  Soldier Enhancement Program</v>
      </c>
    </row>
    <row r="203" spans="1:27" ht="15" x14ac:dyDescent="0.25">
      <c r="A203" t="s">
        <v>437</v>
      </c>
      <c r="B203" t="s">
        <v>437</v>
      </c>
      <c r="C203" s="10" t="s">
        <v>449</v>
      </c>
      <c r="D203" t="s">
        <v>840</v>
      </c>
      <c r="E203" t="s">
        <v>839</v>
      </c>
      <c r="F203" s="2" t="s">
        <v>438</v>
      </c>
      <c r="G203" s="2" t="s">
        <v>900</v>
      </c>
      <c r="H203" s="2" t="s">
        <v>900</v>
      </c>
      <c r="I203" s="2"/>
      <c r="J203" s="2"/>
      <c r="K203" s="2"/>
      <c r="L203" s="2"/>
      <c r="M203" s="2"/>
      <c r="N203" s="2"/>
      <c r="O203" s="2" t="s">
        <v>18</v>
      </c>
      <c r="P203" s="2"/>
      <c r="Q203" s="2" t="s">
        <v>18</v>
      </c>
      <c r="R203" s="2"/>
      <c r="S203" s="2"/>
      <c r="T203" s="2" t="s">
        <v>18</v>
      </c>
      <c r="U203" s="2"/>
      <c r="V203" s="2"/>
      <c r="W203" s="3" t="str">
        <f>CONCATENATE("var js",Table1[[#This Row],[IDs]]," = document.getElementbyId('",Table1[[#This Row],[IDs]],"').innerHTML; //  ",Table1[[#This Row],[Site]])</f>
        <v>var jsS07 = document.getElementbyId('S07').innerHTML; //  Soldier For life</v>
      </c>
      <c r="X203" s="1" t="str">
        <f t="shared" ref="X203:X223" si="13">CONCATENATE("        &lt;!--",A203," - ",C203," --&gt;&lt;div class='column catAll",IF(I203="X"," catArmySites",""),IF(J203="X"," catCombatReadiness",""),IF(K203="X"," catDod",""),IF(L203="X"," catFamily",""),IF(M203="X"," catFinance",""),IF(N203="X"," catHealth",""),IF(O203="X"," catHuman",""),IF(P203="X"," catLegal",""),IF(Q203="X"," catProDev",""),IF(R203="X"," catTech",""),IF(S203="X"," catMilEd",""),IF(T203="X"," catCivEd",""),IF(U203="X"," catUsGov",""),"' style='margin-bottom: 0px;' id='",F203,"'&gt;&lt;a href='",C203,"' rel='noopener noreferrer' class='column hideMarquee'&gt;&lt;div class='armyCardContainer card'&gt;&lt;div class='armyCard'&gt;&lt;div&gt;&lt;p class='marquee'&gt;",E203,"&lt;/p&gt;",IF(H203="Yes","&lt;img src='assets/CaCRequired.png' title='A CAC is required to use some or all features of this site!' Class='cacLocked'&gt;",""),IF(G203="Yes","&lt;img src='assets/DODlock.png' title='This Site requires a DoD network connection to be used!' Class='dodLocked'&gt;",""),"&lt;img src='assets/",D203,"' class='cardImage' loading='lazy'&gt;&lt;/div&gt;&lt;div class='title'&gt;
          &lt;span&gt;",A203,"&lt;/span&gt;&lt;/div&gt;&lt;/div&gt;&lt;/div&gt;&lt;/a&gt;&lt;/div&gt;&lt;script&gt;var js",F203," = document.getElementById('",F203,"').innerHTML;&lt;/script&gt;")</f>
        <v xml:space="preserve">        &lt;!--Soldier For life - https://soldierforlife.army.mil/ --&gt;&lt;div class='column catAll catHuman catProDev catCivEd' style='margin-bottom: 0px;' id='S07'&gt;&lt;a href='https://soldierforlife.army.mil/' rel='noopener noreferrer' class='column hideMarquee'&gt;&lt;div class='armyCardContainer card'&gt;&lt;div class='armyCard'&gt;&lt;div&gt;&lt;p class='marquee'&gt;The latest news, images, videos, career information, and links from US Army Soldier For Life.&lt;/p&gt;&lt;img src='assets/Card-135.png' class='cardImage' loading='lazy'&gt;&lt;/div&gt;&lt;div class='title'&gt;
          &lt;span&gt;Soldier For life&lt;/span&gt;&lt;/div&gt;&lt;/div&gt;&lt;/div&gt;&lt;/a&gt;&lt;/div&gt;&lt;script&gt;var jsS07 = document.getElementById('S07').innerHTML;&lt;/script&gt;</v>
      </c>
      <c r="Y20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Soldier For life - https://soldierforlife.army.mil/ --&gt;
      &lt;summary&gt;• &lt;a href='https://soldierforlife.army.mil/' rel='noopener noreferrer'&gt;Soldier For life - https://soldierforlife.army.mil/&lt;/a&gt;&lt;/summary&gt;
      &lt;p&gt;The latest news, images, videos, career information, and links from US Army Soldier For Life.&lt;/p&gt;
    &lt;/details&gt;</v>
      </c>
      <c r="Z203" s="1" t="str">
        <f t="shared" si="12"/>
        <v xml:space="preserve">          &lt;!-- Soldier For life - https://soldierforlife.army.mil/ --&gt;&lt;div id='dragS07' class='catAll catHuman catProDev catCivEd'&gt;&lt;div class='column hideMarquee' draggable='true' ondragstart='drag(event)' value='S07' id='S07'&gt;&lt;div class='armyCardContainer ssCard'&gt;&lt;div class='ssArmyCard'&gt;&lt;div&gt;&lt;p class='marquee'&gt;The latest news, images, videos, career information, and links from US Army Soldier For Life.&lt;/p&gt;&lt;img src='assets/Card-135.png' class='ssCardImage' draggable='false' loading='lazy'&gt;&lt;/div&gt;&lt;div class='ssTitle'&gt;&lt;span id='S07Title'&gt;Soldier For life&lt;/span&gt;&lt;/div&gt;&lt;/div&gt;&lt;/div&gt;&lt;/div&gt;&lt;/div&gt;&lt;script&gt;var jsS07 = document.getElementById('dragS07').innerHTML;&lt;/script&gt;</v>
      </c>
      <c r="AA203" s="1" t="str">
        <f>CONCATENATE("var js",Table1[[#This Row],[IDs]]," = document.getElementbyId('drag",Table1[[#This Row],[IDs]],"').innerHTML; //  ",Table1[[#This Row],[Site]])</f>
        <v>var jsS07 = document.getElementbyId('dragS07').innerHTML; //  Soldier For life</v>
      </c>
    </row>
    <row r="204" spans="1:27" ht="15" x14ac:dyDescent="0.25">
      <c r="A204" t="s">
        <v>328</v>
      </c>
      <c r="B204" t="s">
        <v>328</v>
      </c>
      <c r="C204" s="10" t="s">
        <v>329</v>
      </c>
      <c r="D204" t="s">
        <v>842</v>
      </c>
      <c r="E204" t="s">
        <v>841</v>
      </c>
      <c r="F204" s="2" t="s">
        <v>330</v>
      </c>
      <c r="G204" s="2" t="s">
        <v>900</v>
      </c>
      <c r="H204" s="2" t="s">
        <v>552</v>
      </c>
      <c r="I204" s="2" t="s">
        <v>18</v>
      </c>
      <c r="J204" s="2"/>
      <c r="K204" s="2"/>
      <c r="L204" s="2"/>
      <c r="M204" s="2"/>
      <c r="N204" s="2"/>
      <c r="O204" s="2"/>
      <c r="P204" s="2"/>
      <c r="Q204" s="2"/>
      <c r="R204" s="2"/>
      <c r="S204" s="2"/>
      <c r="T204" s="2"/>
      <c r="U204" s="2"/>
      <c r="V204" s="2"/>
      <c r="W204" s="3" t="str">
        <f>CONCATENATE("var js",Table1[[#This Row],[IDs]]," = document.getElementbyId('",Table1[[#This Row],[IDs]],"').innerHTML; //  ",Table1[[#This Row],[Site]])</f>
        <v>var jsS04 = document.getElementbyId('S04').innerHTML; //  Supply and Maintenance Assistance Review Team (SMART)</v>
      </c>
      <c r="X204" s="1" t="str">
        <f t="shared" si="13"/>
        <v xml:space="preserve">        &lt;!--Supply and Maintenance Assistance Review Team (SMART) - https://www.milsuite.mil/book/docs/DOC-101393 --&gt;&lt;div class='column catAll catArmySites' style='margin-bottom: 0px;' id='S04'&gt;&lt;a href='https://www.milsuite.mil/book/docs/DOC-101393' rel='noopener noreferrer' class='column hideMarquee'&gt;&lt;div class='armyCardContainer card'&gt;&lt;div class='armyCard'&gt;&lt;div&gt;&lt;p class='marquee'&gt;Supply and Maintenance Assistance Review Team (SMART) is made to streamline and improve unit level logistics support through a single source logistics suggestion program. Submit a suggestion with them to receive help on unit level logistics.&lt;/p&gt;&lt;img src='assets/CaCRequired.png' title='A CAC is required to use some or all features of this site!' Class='cacLocked'&gt;&lt;img src='assets/Card-011.jpg' class='cardImage' loading='lazy'&gt;&lt;/div&gt;&lt;div class='title'&gt;
          &lt;span&gt;Supply and Maintenance Assistance Review Team (SMART)&lt;/span&gt;&lt;/div&gt;&lt;/div&gt;&lt;/div&gt;&lt;/a&gt;&lt;/div&gt;&lt;script&gt;var jsS04 = document.getElementById('S04').innerHTML;&lt;/script&gt;</v>
      </c>
      <c r="Y20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Supply and Maintenance Assistance Review Team (SMART) - https://www.milsuite.mil/book/docs/DOC-101393 --&gt;
      &lt;summary&gt;• &lt;a href='https://www.milsuite.mil/book/docs/DOC-101393' rel='noopener noreferrer'&gt;Supply and Maintenance Assistance Review Team (SMART) - https://www.milsuite.mil/book/docs/DOC-101393&lt;/a&gt;&lt;/summary&gt;
      &lt;p&gt;Supply and Maintenance Assistance Review Team (SMART) is made to streamline and improve unit level logistics support through a single source logistics suggestion program. Submit a suggestion with them to receive help on unit level logistics.&lt;/p&gt;
    &lt;/details&gt;</v>
      </c>
      <c r="Z204" s="1" t="str">
        <f t="shared" si="12"/>
        <v xml:space="preserve">          &lt;!-- Supply and Maintenance Assistance Review Team (SMART) - https://www.milsuite.mil/book/docs/DOC-101393 --&gt;&lt;div id='dragS04' class='catAll catArmySites'&gt;&lt;div class='column hideMarquee' draggable='true' ondragstart='drag(event)' value='S04' id='S04'&gt;&lt;div class='armyCardContainer ssCard'&gt;&lt;div class='ssArmyCard'&gt;&lt;div&gt;&lt;p class='marquee'&gt;Supply and Maintenance Assistance Review Team (SMART) is made to streamline and improve unit level logistics support through a single source logistics suggestion program. Submit a suggestion with them to receive help on unit level logistics.&lt;/p&gt;&lt;img src='assets/Card-011.jpg' class='ssCardImage' draggable='false' loading='lazy'&gt;&lt;/div&gt;&lt;div class='ssTitle'&gt;&lt;span id='S04Title'&gt;Supply and Maintenance Assistance Review Team (SMART)&lt;/span&gt;&lt;/div&gt;&lt;/div&gt;&lt;/div&gt;&lt;/div&gt;&lt;/div&gt;&lt;script&gt;var jsS04 = document.getElementById('dragS04').innerHTML;&lt;/script&gt;</v>
      </c>
      <c r="AA204" s="1" t="str">
        <f>CONCATENATE("var js",Table1[[#This Row],[IDs]]," = document.getElementbyId('drag",Table1[[#This Row],[IDs]],"').innerHTML; //  ",Table1[[#This Row],[Site]])</f>
        <v>var jsS04 = document.getElementbyId('dragS04').innerHTML; //  Supply and Maintenance Assistance Review Team (SMART)</v>
      </c>
    </row>
    <row r="205" spans="1:27" ht="15" x14ac:dyDescent="0.25">
      <c r="A205" t="s">
        <v>331</v>
      </c>
      <c r="B205" t="s">
        <v>331</v>
      </c>
      <c r="C205" s="10" t="s">
        <v>332</v>
      </c>
      <c r="D205" t="s">
        <v>599</v>
      </c>
      <c r="E205" t="s">
        <v>843</v>
      </c>
      <c r="F205" s="2" t="s">
        <v>333</v>
      </c>
      <c r="G205" s="2" t="s">
        <v>900</v>
      </c>
      <c r="H205" s="2" t="s">
        <v>900</v>
      </c>
      <c r="I205" s="2"/>
      <c r="J205" s="2"/>
      <c r="K205" s="2"/>
      <c r="L205" s="2" t="s">
        <v>18</v>
      </c>
      <c r="M205" s="2"/>
      <c r="N205" s="2" t="s">
        <v>18</v>
      </c>
      <c r="O205" s="2"/>
      <c r="P205" s="2"/>
      <c r="Q205" s="2"/>
      <c r="R205" s="2"/>
      <c r="S205" s="2"/>
      <c r="T205" s="2"/>
      <c r="U205" s="2"/>
      <c r="V205" s="2"/>
      <c r="W205" s="3" t="str">
        <f>CONCATENATE("var js",Table1[[#This Row],[IDs]]," = document.getElementbyId('",Table1[[#This Row],[IDs]],"').innerHTML; //  ",Table1[[#This Row],[Site]])</f>
        <v>var jsS05 = document.getElementbyId('S05').innerHTML; //  Survivor OutReach Services</v>
      </c>
      <c r="X205" s="1" t="str">
        <f t="shared" si="13"/>
        <v xml:space="preserve">        &lt;!--Survivor OutReach Services - https://www.armymwr.com/programs-and-services/personal-assistance/survivor-outreach --&gt;&lt;div class='column catAll catFamily catHealth' style='margin-bottom: 0px;' id='S05'&gt;&lt;a href='https://www.armymwr.com/programs-and-services/personal-assistance/survivor-outreach' rel='noopener noreferrer' class='column hideMarquee'&gt;&lt;div class='armyCardContainer card'&gt;&lt;div class='armyCard'&gt;&lt;div&gt;&lt;p class='marquee'&gt;Survivor Outreach Services is part of the Army Casualty Continuum of Care. It’s designed to provide long-term support to surviving Families of Fallen Soldiers. Their goal is to reassure Survivors that they remain valued members of the Army Family.&lt;/p&gt;&lt;img src='assets/Card-055.png' class='cardImage' loading='lazy'&gt;&lt;/div&gt;&lt;div class='title'&gt;
          &lt;span&gt;Survivor OutReach Services&lt;/span&gt;&lt;/div&gt;&lt;/div&gt;&lt;/div&gt;&lt;/a&gt;&lt;/div&gt;&lt;script&gt;var jsS05 = document.getElementById('S05').innerHTML;&lt;/script&gt;</v>
      </c>
      <c r="Y20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Survivor OutReach Services - https://www.armymwr.com/programs-and-services/personal-assistance/survivor-outreach --&gt;
      &lt;summary&gt;• &lt;a href='https://www.armymwr.com/programs-and-services/personal-assistance/survivor-outreach' rel='noopener noreferrer'&gt;Survivor OutReach Services - https://www.armymwr.com/programs-and-services/personal-assistance/survivor-outreach&lt;/a&gt;&lt;/summary&gt;
      &lt;p&gt;Survivor Outreach Services is part of the Army Casualty Continuum of Care. It’s designed to provide long-term support to surviving Families of Fallen Soldiers. Their goal is to reassure Survivors that they remain valued members of the Army Family.&lt;/p&gt;
    &lt;/details&gt;</v>
      </c>
      <c r="Z205" s="1" t="str">
        <f t="shared" si="12"/>
        <v xml:space="preserve">          &lt;!-- Survivor OutReach Services - https://www.armymwr.com/programs-and-services/personal-assistance/survivor-outreach --&gt;&lt;div id='dragS05' class='catAll catFamily catHealth'&gt;&lt;div class='column hideMarquee' draggable='true' ondragstart='drag(event)' value='S05' id='S05'&gt;&lt;div class='armyCardContainer ssCard'&gt;&lt;div class='ssArmyCard'&gt;&lt;div&gt;&lt;p class='marquee'&gt;Survivor Outreach Services is part of the Army Casualty Continuum of Care. It’s designed to provide long-term support to surviving Families of Fallen Soldiers. Their goal is to reassure Survivors that they remain valued members of the Army Family.&lt;/p&gt;&lt;img src='assets/Card-055.png' class='ssCardImage' draggable='false' loading='lazy'&gt;&lt;/div&gt;&lt;div class='ssTitle'&gt;&lt;span id='S05Title'&gt;Survivor OutReach Services&lt;/span&gt;&lt;/div&gt;&lt;/div&gt;&lt;/div&gt;&lt;/div&gt;&lt;/div&gt;&lt;script&gt;var jsS05 = document.getElementById('dragS05').innerHTML;&lt;/script&gt;</v>
      </c>
      <c r="AA205" s="1" t="str">
        <f>CONCATENATE("var js",Table1[[#This Row],[IDs]]," = document.getElementbyId('drag",Table1[[#This Row],[IDs]],"').innerHTML; //  ",Table1[[#This Row],[Site]])</f>
        <v>var jsS05 = document.getElementbyId('dragS05').innerHTML; //  Survivor OutReach Services</v>
      </c>
    </row>
    <row r="206" spans="1:27" ht="15" x14ac:dyDescent="0.25">
      <c r="A206" s="1" t="s">
        <v>883</v>
      </c>
      <c r="B206" s="1" t="s">
        <v>883</v>
      </c>
      <c r="C206" s="9" t="s">
        <v>521</v>
      </c>
      <c r="D206" t="s">
        <v>623</v>
      </c>
      <c r="E206" s="1" t="s">
        <v>921</v>
      </c>
      <c r="F206" s="2" t="s">
        <v>952</v>
      </c>
      <c r="G206" s="2" t="s">
        <v>900</v>
      </c>
      <c r="H206" s="2" t="s">
        <v>552</v>
      </c>
      <c r="I206" s="2" t="s">
        <v>18</v>
      </c>
      <c r="J206" s="2" t="s">
        <v>18</v>
      </c>
      <c r="K206" s="2"/>
      <c r="L206" s="2"/>
      <c r="M206" s="2"/>
      <c r="N206" s="2"/>
      <c r="O206" s="2"/>
      <c r="P206" s="2"/>
      <c r="Q206" s="2"/>
      <c r="R206" s="2"/>
      <c r="S206" s="2"/>
      <c r="T206" s="2"/>
      <c r="U206" s="2"/>
      <c r="V206" s="2"/>
      <c r="W206" s="3" t="str">
        <f>CONCATENATE("var js",Table1[[#This Row],[IDs]]," = document.getElementbyId('",Table1[[#This Row],[IDs]],"').innerHTML; //  ",Table1[[#This Row],[Site]])</f>
        <v>var jsS08 = document.getElementbyId('S08').innerHTML; //  Sustainable Range Program (SRP) Portal</v>
      </c>
      <c r="X206" s="1" t="str">
        <f t="shared" si="13"/>
        <v xml:space="preserve">        &lt;!--Sustainable Range Program (SRP) Portal - https://srp.army.mil/ --&gt;&lt;div class='column catAll catArmySites catCombatReadiness' style='margin-bottom: 0px;' id='S08'&gt;&lt;a href='https://srp.army.mil/' rel='noopener noreferrer' class='column hideMarquee'&gt;&lt;div class='armyCardContainer card'&gt;&lt;div class='armyCard'&gt;&lt;div&gt;&lt;p class='marquee'&gt;The Sustainable Range Program, is the Army's overall approach for improving the way in which it designs, manages, and uses its ranges. SRP's goal is to maximize capability, availability, and accessibility of ranges and training lands.&lt;/p&gt;&lt;img src='assets/CaCRequired.png' title='A CAC is required to use some or all features of this site!' Class='cacLocked'&gt;&lt;img src='assets/Card-001.png' class='cardImage' loading='lazy'&gt;&lt;/div&gt;&lt;div class='title'&gt;
          &lt;span&gt;Sustainable Range Program (SRP) Portal&lt;/span&gt;&lt;/div&gt;&lt;/div&gt;&lt;/div&gt;&lt;/a&gt;&lt;/div&gt;&lt;script&gt;var jsS08 = document.getElementById('S08').innerHTML;&lt;/script&gt;</v>
      </c>
      <c r="Y20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Sustainable Range Program (SRP) Portal - https://srp.army.mil/ --&gt;
      &lt;summary&gt;• &lt;a href='https://srp.army.mil/' rel='noopener noreferrer'&gt;Sustainable Range Program (SRP) Portal - https://srp.army.mil/&lt;/a&gt;&lt;/summary&gt;
      &lt;p&gt;The Sustainable Range Program, is the Army's overall approach for improving the way in which it designs, manages, and uses its ranges. SRP's goal is to maximize capability, availability, and accessibility of ranges and training lands.&lt;/p&gt;
    &lt;/details&gt;</v>
      </c>
      <c r="Z206" s="1" t="str">
        <f t="shared" si="12"/>
        <v xml:space="preserve">          &lt;!-- Sustainable Range Program (SRP) Portal - https://srp.army.mil/ --&gt;&lt;div id='dragS08' class='catAll catArmySites catCombatReadiness'&gt;&lt;div class='column hideMarquee' draggable='true' ondragstart='drag(event)' value='S08' id='S08'&gt;&lt;div class='armyCardContainer ssCard'&gt;&lt;div class='ssArmyCard'&gt;&lt;div&gt;&lt;p class='marquee'&gt;The Sustainable Range Program, is the Army's overall approach for improving the way in which it designs, manages, and uses its ranges. SRP's goal is to maximize capability, availability, and accessibility of ranges and training lands.&lt;/p&gt;&lt;img src='assets/Card-001.png' class='ssCardImage' draggable='false' loading='lazy'&gt;&lt;/div&gt;&lt;div class='ssTitle'&gt;&lt;span id='S08Title'&gt;Sustainable Range Program (SRP) Portal&lt;/span&gt;&lt;/div&gt;&lt;/div&gt;&lt;/div&gt;&lt;/div&gt;&lt;/div&gt;&lt;script&gt;var jsS08 = document.getElementById('dragS08').innerHTML;&lt;/script&gt;</v>
      </c>
      <c r="AA206" s="1" t="str">
        <f>CONCATENATE("var js",Table1[[#This Row],[IDs]]," = document.getElementbyId('drag",Table1[[#This Row],[IDs]],"').innerHTML; //  ",Table1[[#This Row],[Site]])</f>
        <v>var jsS08 = document.getElementbyId('dragS08').innerHTML; //  Sustainable Range Program (SRP) Portal</v>
      </c>
    </row>
    <row r="207" spans="1:27" ht="15" x14ac:dyDescent="0.25">
      <c r="A207" t="s">
        <v>334</v>
      </c>
      <c r="B207" t="s">
        <v>334</v>
      </c>
      <c r="C207" s="10" t="s">
        <v>895</v>
      </c>
      <c r="D207" t="s">
        <v>852</v>
      </c>
      <c r="E207" s="1" t="s">
        <v>995</v>
      </c>
      <c r="F207" s="2" t="s">
        <v>335</v>
      </c>
      <c r="G207" s="2" t="s">
        <v>900</v>
      </c>
      <c r="H207" s="2" t="s">
        <v>900</v>
      </c>
      <c r="I207" s="2"/>
      <c r="J207" s="2"/>
      <c r="K207" s="2"/>
      <c r="L207" s="2"/>
      <c r="M207" s="2" t="s">
        <v>18</v>
      </c>
      <c r="N207" s="2"/>
      <c r="O207" s="2"/>
      <c r="P207" s="2"/>
      <c r="Q207" s="2"/>
      <c r="R207" s="2"/>
      <c r="S207" s="2"/>
      <c r="T207" s="2"/>
      <c r="U207" s="2" t="s">
        <v>18</v>
      </c>
      <c r="V207" s="2"/>
      <c r="W207" s="3" t="str">
        <f>CONCATENATE("var js",Table1[[#This Row],[IDs]]," = document.getElementbyId('",Table1[[#This Row],[IDs]],"').innerHTML; //  ",Table1[[#This Row],[Site]])</f>
        <v>var jsT00 = document.getElementbyId('T00').innerHTML; //  Thrift Savings Plan</v>
      </c>
      <c r="X207" s="1" t="str">
        <f t="shared" si="13"/>
        <v xml:space="preserve">        &lt;!--Thrift Savings Plan - https://tsp.gov/ --&gt;&lt;div class='column catAll catFinance catUsGov' style='margin-bottom: 0px;' id='T00'&gt;&lt;a href='https://tsp.gov/' rel='noopener noreferrer' class='column hideMarquee'&gt;&lt;div class='armyCardContainer card'&gt;&lt;div class='armyCard'&gt;&lt;div&gt;&lt;p class='marquee'&gt;The Thrift Savings Plan (TSP) is a retirement savings and investment plan for Federal employees and members of the uniformed services, including the Ready Reserve. It was established by Congress in the Federal Employees’ Retirement System Act of 1986 and offers the same types of savings and tax benefits that many private corporations offer their employees under 401(k) plans. The program provides transition assistance services to eligible Soldiers with at least 180 or more continuous days of Title 10 active duty service, except for those in a training status. TAP helps all eligible transitioning Soldiers discover knowledge, skills, and resources necessary to be competitive and successful in the global workforce. TAP helps Soldiers make informed career decisions through counseling and employment assistance, building upon lessons learned in the Initial and Service phases of the Soldier Life Cycle.&lt;/p&gt;&lt;img src='assets/Card-065.png' class='cardImage' loading='lazy'&gt;&lt;/div&gt;&lt;div class='title'&gt;
          &lt;span&gt;Thrift Savings Plan&lt;/span&gt;&lt;/div&gt;&lt;/div&gt;&lt;/div&gt;&lt;/a&gt;&lt;/div&gt;&lt;script&gt;var jsT00 = document.getElementById('T00').innerHTML;&lt;/script&gt;</v>
      </c>
      <c r="Y20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Thrift Savings Plan - https://tsp.gov/ --&gt;
      &lt;summary&gt;• &lt;a href='https://tsp.gov/' rel='noopener noreferrer'&gt;Thrift Savings Plan - https://tsp.gov/&lt;/a&gt;&lt;/summary&gt;
      &lt;p&gt;The Thrift Savings Plan (TSP) is a retirement savings and investment plan for Federal employees and members of the uniformed services, including the Ready Reserve. It was established by Congress in the Federal Employees’ Retirement System Act of 1986 and offers the same types of savings and tax benefits that many private corporations offer their employees under 401(k) plans. The program provides transition assistance services to eligible Soldiers with at least 180 or more continuous days of Title 10 active duty service, except for those in a training status. TAP helps all eligible transitioning Soldiers discover knowledge, skills, and resources necessary to be competitive and successful in the global workforce. TAP helps Soldiers make informed career decisions through counseling and employment assistance, building upon lessons learned in the Initial and Service phases of the Soldier Life Cycle.&lt;/p&gt;
    &lt;/details&gt;</v>
      </c>
      <c r="Z207" s="1" t="str">
        <f t="shared" si="12"/>
        <v xml:space="preserve">          &lt;!-- Thrift Savings Plan - https://tsp.gov/ --&gt;&lt;div id='dragT00' class='catAll catFinance catUsGov'&gt;&lt;div class='column hideMarquee' draggable='true' ondragstart='drag(event)' value='T00' id='T00'&gt;&lt;div class='armyCardContainer ssCard'&gt;&lt;div class='ssArmyCard'&gt;&lt;div&gt;&lt;p class='marquee'&gt;The Thrift Savings Plan (TSP) is a retirement savings and investment plan for Federal employees and members of the uniformed services, including the Ready Reserve. It was established by Congress in the Federal Employees’ Retirement System Act of 1986 and offers the same types of savings and tax benefits that many private corporations offer their employees under 401(k) plans. The program provides transition assistance services to eligible Soldiers with at least 180 or more continuous days of Title 10 active duty service, except for those in a training status. TAP helps all eligible transitioning Soldiers discover knowledge, skills, and resources necessary to be competitive and successful in the global workforce. TAP helps Soldiers make informed career decisions through counseling and employment assistance, building upon lessons learned in the Initial and Service phases of the Soldier Life Cycle.&lt;/p&gt;&lt;img src='assets/Card-065.png' class='ssCardImage' draggable='false' loading='lazy'&gt;&lt;/div&gt;&lt;div class='ssTitle'&gt;&lt;span id='T00Title'&gt;Thrift Savings Plan&lt;/span&gt;&lt;/div&gt;&lt;/div&gt;&lt;/div&gt;&lt;/div&gt;&lt;/div&gt;&lt;script&gt;var jsT00 = document.getElementById('dragT00').innerHTML;&lt;/script&gt;</v>
      </c>
      <c r="AA207" s="1" t="str">
        <f>CONCATENATE("var js",Table1[[#This Row],[IDs]]," = document.getElementbyId('drag",Table1[[#This Row],[IDs]],"').innerHTML; //  ",Table1[[#This Row],[Site]])</f>
        <v>var jsT00 = document.getElementbyId('dragT00').innerHTML; //  Thrift Savings Plan</v>
      </c>
    </row>
    <row r="208" spans="1:27" ht="15" x14ac:dyDescent="0.25">
      <c r="A208" t="s">
        <v>336</v>
      </c>
      <c r="B208" t="s">
        <v>336</v>
      </c>
      <c r="C208" s="2" t="s">
        <v>337</v>
      </c>
      <c r="D208" t="s">
        <v>847</v>
      </c>
      <c r="E208" t="s">
        <v>846</v>
      </c>
      <c r="F208" s="2" t="s">
        <v>338</v>
      </c>
      <c r="G208" s="2" t="s">
        <v>900</v>
      </c>
      <c r="H208" s="2" t="s">
        <v>552</v>
      </c>
      <c r="I208" s="2"/>
      <c r="J208" s="2"/>
      <c r="K208" s="2"/>
      <c r="L208" s="2"/>
      <c r="M208" s="2"/>
      <c r="N208" s="2"/>
      <c r="O208" s="2"/>
      <c r="P208" s="2"/>
      <c r="Q208" s="2"/>
      <c r="R208" s="2"/>
      <c r="S208" s="2" t="s">
        <v>18</v>
      </c>
      <c r="T208" s="2"/>
      <c r="U208" s="2"/>
      <c r="V208" s="2"/>
      <c r="W208" s="3" t="str">
        <f>CONCATENATE("var js",Table1[[#This Row],[IDs]]," = document.getElementbyId('",Table1[[#This Row],[IDs]],"').innerHTML; //  ",Table1[[#This Row],[Site]])</f>
        <v>var jsT01 = document.getElementbyId('T01').innerHTML; //  TRADOC Application GateWay (TAG)</v>
      </c>
      <c r="X208" s="1" t="str">
        <f t="shared" si="13"/>
        <v xml:space="preserve">        &lt;!--TRADOC Application GateWay (TAG) - https://public.tag.army.mil/catalog/tag/home --&gt;&lt;div class='column catAll catMilEd' style='margin-bottom: 0px;' id='T01'&gt;&lt;a href='https://public.tag.army.mil/catalog/tag/home' rel='noopener noreferrer' class='column hideMarquee'&gt;&lt;div class='armyCardContainer card'&gt;&lt;div class='armyCard'&gt;&lt;div&gt;&lt;p class='marquee'&gt;The TRADOC Application Gateway (TAG) is a site to host and track mobile apps. The TAG offers both Public and restricted access to apps and iBooks. Mobile applications public and restricted appear on the TAG.&lt;/p&gt;&lt;img src='assets/CaCRequired.png' title='A CAC is required to use some or all features of this site!' Class='cacLocked'&gt;&lt;img src='assets/Card-041.png' class='cardImage' loading='lazy'&gt;&lt;/div&gt;&lt;div class='title'&gt;
          &lt;span&gt;TRADOC Application GateWay (TAG)&lt;/span&gt;&lt;/div&gt;&lt;/div&gt;&lt;/div&gt;&lt;/a&gt;&lt;/div&gt;&lt;script&gt;var jsT01 = document.getElementById('T01').innerHTML;&lt;/script&gt;</v>
      </c>
      <c r="Y20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TRADOC Application GateWay (TAG) - https://public.tag.army.mil/catalog/tag/home --&gt;
      &lt;summary&gt;• &lt;a href='https://public.tag.army.mil/catalog/tag/home' rel='noopener noreferrer'&gt;TRADOC Application GateWay (TAG) - https://public.tag.army.mil/catalog/tag/home&lt;/a&gt;&lt;/summary&gt;
      &lt;p&gt;The TRADOC Application Gateway (TAG) is a site to host and track mobile apps. The TAG offers both Public and restricted access to apps and iBooks. Mobile applications public and restricted appear on the TAG.&lt;/p&gt;
    &lt;/details&gt;</v>
      </c>
      <c r="Z208" s="1" t="str">
        <f t="shared" si="12"/>
        <v xml:space="preserve">          &lt;!-- TRADOC Application GateWay (TAG) - https://public.tag.army.mil/catalog/tag/home --&gt;&lt;div id='dragT01' class='catAll catMilEd'&gt;&lt;div class='column hideMarquee' draggable='true' ondragstart='drag(event)' value='T01' id='T01'&gt;&lt;div class='armyCardContainer ssCard'&gt;&lt;div class='ssArmyCard'&gt;&lt;div&gt;&lt;p class='marquee'&gt;The TRADOC Application Gateway (TAG) is a site to host and track mobile apps. The TAG offers both Public and restricted access to apps and iBooks. Mobile applications public and restricted appear on the TAG.&lt;/p&gt;&lt;img src='assets/Card-041.png' class='ssCardImage' draggable='false' loading='lazy'&gt;&lt;/div&gt;&lt;div class='ssTitle'&gt;&lt;span id='T01Title'&gt;TRADOC Application GateWay (TAG)&lt;/span&gt;&lt;/div&gt;&lt;/div&gt;&lt;/div&gt;&lt;/div&gt;&lt;/div&gt;&lt;script&gt;var jsT01 = document.getElementById('dragT01').innerHTML;&lt;/script&gt;</v>
      </c>
      <c r="AA208" s="1" t="str">
        <f>CONCATENATE("var js",Table1[[#This Row],[IDs]]," = document.getElementbyId('drag",Table1[[#This Row],[IDs]],"').innerHTML; //  ",Table1[[#This Row],[Site]])</f>
        <v>var jsT01 = document.getElementbyId('dragT01').innerHTML; //  TRADOC Application GateWay (TAG)</v>
      </c>
    </row>
    <row r="209" spans="1:27" ht="15" x14ac:dyDescent="0.25">
      <c r="A209" t="s">
        <v>458</v>
      </c>
      <c r="B209" t="s">
        <v>458</v>
      </c>
      <c r="C209" s="10" t="s">
        <v>926</v>
      </c>
      <c r="D209" t="s">
        <v>845</v>
      </c>
      <c r="E209" t="s">
        <v>844</v>
      </c>
      <c r="F209" s="2" t="s">
        <v>327</v>
      </c>
      <c r="G209" s="2" t="s">
        <v>900</v>
      </c>
      <c r="H209" s="2" t="s">
        <v>552</v>
      </c>
      <c r="I209" s="2"/>
      <c r="J209" s="2"/>
      <c r="K209" s="2"/>
      <c r="L209" s="2"/>
      <c r="M209" s="2"/>
      <c r="N209" s="2"/>
      <c r="O209" s="2" t="s">
        <v>18</v>
      </c>
      <c r="P209" s="2"/>
      <c r="Q209" s="2" t="s">
        <v>18</v>
      </c>
      <c r="R209" s="2"/>
      <c r="S209" s="2"/>
      <c r="T209" s="2" t="s">
        <v>18</v>
      </c>
      <c r="U209" s="2"/>
      <c r="V209" s="2"/>
      <c r="W209" s="3" t="str">
        <f>CONCATENATE("var js",Table1[[#This Row],[IDs]]," = document.getElementbyId('",Table1[[#This Row],[IDs]],"').innerHTML; //  ",Table1[[#This Row],[Site]])</f>
        <v>var jsS03 = document.getElementbyId('S03').innerHTML; //  Transition Assistance Program (TAP)</v>
      </c>
      <c r="X209" s="1" t="str">
        <f t="shared" si="13"/>
        <v xml:space="preserve">        &lt;!--Transition Assistance Program (TAP) - https://www.armytap.army.mil/ --&gt;&lt;div class='column catAll catHuman catProDev catCivEd' style='margin-bottom: 0px;' id='S03'&gt;&lt;a href='https://www.armytap.army.mil/' rel='noopener noreferrer' class='column hideMarquee'&gt;&lt;div class='armyCardContainer card'&gt;&lt;div class='armyCard'&gt;&lt;div&gt;&lt;p class='marquee'&gt;Army Transition Assistance Program (TAP) is a Commander’s Program and a Soldier’s responsibility.&lt;/p&gt;&lt;img src='assets/CaCRequired.png' title='A CAC is required to use some or all features of this site!' Class='cacLocked'&gt;&lt;img src='assets/Card-097.png' class='cardImage' loading='lazy'&gt;&lt;/div&gt;&lt;div class='title'&gt;
          &lt;span&gt;Transition Assistance Program (TAP)&lt;/span&gt;&lt;/div&gt;&lt;/div&gt;&lt;/div&gt;&lt;/a&gt;&lt;/div&gt;&lt;script&gt;var jsS03 = document.getElementById('S03').innerHTML;&lt;/script&gt;</v>
      </c>
      <c r="Y209"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Transition Assistance Program (TAP) - https://www.armytap.army.mil/ --&gt;
      &lt;summary&gt;• &lt;a href='https://www.armytap.army.mil/' rel='noopener noreferrer'&gt;Transition Assistance Program (TAP) - https://www.armytap.army.mil/&lt;/a&gt;&lt;/summary&gt;
      &lt;p&gt;Army Transition Assistance Program (TAP) is a Commander’s Program and a Soldier’s responsibility.&lt;/p&gt;
    &lt;/details&gt;</v>
      </c>
      <c r="Z209" s="1" t="str">
        <f t="shared" si="12"/>
        <v xml:space="preserve">          &lt;!-- Transition Assistance Program (TAP) - https://www.armytap.army.mil/ --&gt;&lt;div id='dragS03' class='catAll catHuman catProDev catCivEd'&gt;&lt;div class='column hideMarquee' draggable='true' ondragstart='drag(event)' value='S03' id='S03'&gt;&lt;div class='armyCardContainer ssCard'&gt;&lt;div class='ssArmyCard'&gt;&lt;div&gt;&lt;p class='marquee'&gt;Army Transition Assistance Program (TAP) is a Commander’s Program and a Soldier’s responsibility.&lt;/p&gt;&lt;img src='assets/Card-097.png' class='ssCardImage' draggable='false' loading='lazy'&gt;&lt;/div&gt;&lt;div class='ssTitle'&gt;&lt;span id='S03Title'&gt;Transition Assistance Program (TAP)&lt;/span&gt;&lt;/div&gt;&lt;/div&gt;&lt;/div&gt;&lt;/div&gt;&lt;/div&gt;&lt;script&gt;var jsS03 = document.getElementById('dragS03').innerHTML;&lt;/script&gt;</v>
      </c>
      <c r="AA209" s="1" t="str">
        <f>CONCATENATE("var js",Table1[[#This Row],[IDs]]," = document.getElementbyId('drag",Table1[[#This Row],[IDs]],"').innerHTML; //  ",Table1[[#This Row],[Site]])</f>
        <v>var jsS03 = document.getElementbyId('dragS03').innerHTML; //  Transition Assistance Program (TAP)</v>
      </c>
    </row>
    <row r="210" spans="1:27" ht="15" x14ac:dyDescent="0.25">
      <c r="A210" t="s">
        <v>339</v>
      </c>
      <c r="B210" t="s">
        <v>339</v>
      </c>
      <c r="C210" s="2" t="s">
        <v>340</v>
      </c>
      <c r="D210" t="s">
        <v>849</v>
      </c>
      <c r="E210" t="s">
        <v>848</v>
      </c>
      <c r="F210" s="2" t="s">
        <v>341</v>
      </c>
      <c r="G210" s="2" t="s">
        <v>900</v>
      </c>
      <c r="H210" s="2" t="s">
        <v>552</v>
      </c>
      <c r="I210" s="2"/>
      <c r="J210" s="2"/>
      <c r="K210" s="2"/>
      <c r="L210" s="2"/>
      <c r="M210" s="2"/>
      <c r="N210" s="2"/>
      <c r="O210" s="2" t="s">
        <v>18</v>
      </c>
      <c r="P210" s="2"/>
      <c r="Q210" s="2"/>
      <c r="R210" s="2"/>
      <c r="S210" s="2"/>
      <c r="T210" s="2"/>
      <c r="U210" s="2"/>
      <c r="V210" s="2"/>
      <c r="W210" s="3" t="str">
        <f>CONCATENATE("var js",Table1[[#This Row],[IDs]]," = document.getElementbyId('",Table1[[#This Row],[IDs]],"').innerHTML; //  ",Table1[[#This Row],[Site]])</f>
        <v>var jsT02 = document.getElementbyId('T02').innerHTML; //  Travel Risk Planing System (TRiPS)</v>
      </c>
      <c r="X210" s="1" t="str">
        <f t="shared" si="13"/>
        <v xml:space="preserve">        &lt;!--Travel Risk Planing System (TRiPS) - https://trips.safety.army.mil/ --&gt;&lt;div class='column catAll catHuman' style='margin-bottom: 0px;' id='T02'&gt;&lt;a href='https://trips.safety.army.mil/' rel='noopener noreferrer' class='column hideMarquee'&gt;&lt;div class='armyCardContainer card'&gt;&lt;div class='armyCard'&gt;&lt;div&gt;&lt;p class='marquee'&gt;Travel Risk Planing System is an online, survey-style risk-assessment tool that helps service members recognize and manage the risks they face while driving long distances. When a risk assessment is submitted, the designated supervisor receives an email informing him or her that there is a risk assessment to review.&lt;/p&gt;&lt;img src='assets/CaCRequired.png' title='A CAC is required to use some or all features of this site!' Class='cacLocked'&gt;&lt;img src='assets/Card-016.png' class='cardImage' loading='lazy'&gt;&lt;/div&gt;&lt;div class='title'&gt;
          &lt;span&gt;Travel Risk Planing System (TRiPS)&lt;/span&gt;&lt;/div&gt;&lt;/div&gt;&lt;/div&gt;&lt;/a&gt;&lt;/div&gt;&lt;script&gt;var jsT02 = document.getElementById('T02').innerHTML;&lt;/script&gt;</v>
      </c>
      <c r="Y210"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Travel Risk Planing System (TRiPS) - https://trips.safety.army.mil/ --&gt;
      &lt;summary&gt;• &lt;a href='https://trips.safety.army.mil/' rel='noopener noreferrer'&gt;Travel Risk Planing System (TRiPS) - https://trips.safety.army.mil/&lt;/a&gt;&lt;/summary&gt;
      &lt;p&gt;Travel Risk Planing System is an online, survey-style risk-assessment tool that helps service members recognize and manage the risks they face while driving long distances. When a risk assessment is submitted, the designated supervisor receives an email informing him or her that there is a risk assessment to review.&lt;/p&gt;
    &lt;/details&gt;</v>
      </c>
      <c r="Z210" s="1" t="str">
        <f t="shared" si="12"/>
        <v xml:space="preserve">          &lt;!-- Travel Risk Planing System (TRiPS) - https://trips.safety.army.mil/ --&gt;&lt;div id='dragT02' class='catAll catHuman'&gt;&lt;div class='column hideMarquee' draggable='true' ondragstart='drag(event)' value='T02' id='T02'&gt;&lt;div class='armyCardContainer ssCard'&gt;&lt;div class='ssArmyCard'&gt;&lt;div&gt;&lt;p class='marquee'&gt;Travel Risk Planing System is an online, survey-style risk-assessment tool that helps service members recognize and manage the risks they face while driving long distances. When a risk assessment is submitted, the designated supervisor receives an email informing him or her that there is a risk assessment to review.&lt;/p&gt;&lt;img src='assets/Card-016.png' class='ssCardImage' draggable='false' loading='lazy'&gt;&lt;/div&gt;&lt;div class='ssTitle'&gt;&lt;span id='T02Title'&gt;Travel Risk Planing System (TRiPS)&lt;/span&gt;&lt;/div&gt;&lt;/div&gt;&lt;/div&gt;&lt;/div&gt;&lt;/div&gt;&lt;script&gt;var jsT02 = document.getElementById('dragT02').innerHTML;&lt;/script&gt;</v>
      </c>
      <c r="AA210" s="1" t="str">
        <f>CONCATENATE("var js",Table1[[#This Row],[IDs]]," = document.getElementbyId('drag",Table1[[#This Row],[IDs]],"').innerHTML; //  ",Table1[[#This Row],[Site]])</f>
        <v>var jsT02 = document.getElementbyId('dragT02').innerHTML; //  Travel Risk Planing System (TRiPS)</v>
      </c>
    </row>
    <row r="211" spans="1:27" ht="15" x14ac:dyDescent="0.25">
      <c r="A211" t="s">
        <v>342</v>
      </c>
      <c r="B211" t="s">
        <v>342</v>
      </c>
      <c r="C211" s="10" t="s">
        <v>511</v>
      </c>
      <c r="D211" t="s">
        <v>851</v>
      </c>
      <c r="E211" t="s">
        <v>850</v>
      </c>
      <c r="F211" s="2" t="s">
        <v>343</v>
      </c>
      <c r="G211" s="2" t="s">
        <v>900</v>
      </c>
      <c r="H211" s="2" t="s">
        <v>900</v>
      </c>
      <c r="I211" s="2" t="s">
        <v>18</v>
      </c>
      <c r="J211" s="2"/>
      <c r="K211" s="2"/>
      <c r="L211" s="2"/>
      <c r="M211" s="2"/>
      <c r="N211" s="2"/>
      <c r="O211" s="2"/>
      <c r="P211" s="2"/>
      <c r="Q211" s="2"/>
      <c r="R211" s="2"/>
      <c r="S211" s="2"/>
      <c r="T211" s="2"/>
      <c r="U211" s="2"/>
      <c r="V211" s="2"/>
      <c r="W211" s="3" t="str">
        <f>CONCATENATE("var js",Table1[[#This Row],[IDs]]," = document.getElementbyId('",Table1[[#This Row],[IDs]],"').innerHTML; //  ",Table1[[#This Row],[Site]])</f>
        <v>var jsT03 = document.getElementbyId('T03').innerHTML; //  Trial Defense Service</v>
      </c>
      <c r="X211" s="1" t="str">
        <f t="shared" si="13"/>
        <v xml:space="preserve">        &lt;!--Trial Defense Service - https://www.mdwhome.mdw.army.mil/sja/trial-defense --&gt;&lt;div class='column catAll catArmySites' style='margin-bottom: 0px;' id='T03'&gt;&lt;a href='https://www.mdwhome.mdw.army.mil/sja/trial-defense' rel='noopener noreferrer' class='column hideMarquee'&gt;&lt;div class='armyCardContainer card'&gt;&lt;div class='armyCard'&gt;&lt;div&gt;&lt;p class='marquee'&gt;The United States Army Trial Defense Service’s mission is to provide a full-range of defense legal services to Soldiers. These services include:&lt;br&gt;Representing Soldiers charged with violations of the Uniform Code of Military Justice (UCMJ) at courts-martial and Article 32 pretrial investigations;&lt;br&gt;Representing Soldiers during criminal investigations and before elimination or grade reduction boards;&lt;br&gt;Counseling Soldiers regarding pretrial restraint, nonjudicial punishment (Article 15s), and various adverse administrative actions taken pursuant to military regulations.&lt;/p&gt;&lt;img src='assets/Card-021.png' class='cardImage' loading='lazy'&gt;&lt;/div&gt;&lt;div class='title'&gt;
          &lt;span&gt;Trial Defense Service&lt;/span&gt;&lt;/div&gt;&lt;/div&gt;&lt;/div&gt;&lt;/a&gt;&lt;/div&gt;&lt;script&gt;var jsT03 = document.getElementById('T03').innerHTML;&lt;/script&gt;</v>
      </c>
      <c r="Y211"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Trial Defense Service - https://www.mdwhome.mdw.army.mil/sja/trial-defense --&gt;
      &lt;summary&gt;• &lt;a href='https://www.mdwhome.mdw.army.mil/sja/trial-defense' rel='noopener noreferrer'&gt;Trial Defense Service - https://www.mdwhome.mdw.army.mil/sja/trial-defense&lt;/a&gt;&lt;/summary&gt;
      &lt;p&gt;The United States Army Trial Defense Service’s mission is to provide a full-range of defense legal services to Soldiers. These services include:&lt;br&gt;Representing Soldiers charged with violations of the Uniform Code of Military Justice (UCMJ) at courts-martial and Article 32 pretrial investigations;&lt;br&gt;Representing Soldiers during criminal investigations and before elimination or grade reduction boards;&lt;br&gt;Counseling Soldiers regarding pretrial restraint, nonjudicial punishment (Article 15s), and various adverse administrative actions taken pursuant to military regulations.&lt;/p&gt;
    &lt;/details&gt;</v>
      </c>
      <c r="Z211" s="1" t="str">
        <f t="shared" si="12"/>
        <v xml:space="preserve">          &lt;!-- Trial Defense Service - https://www.mdwhome.mdw.army.mil/sja/trial-defense --&gt;&lt;div id='dragT03' class='catAll catArmySites'&gt;&lt;div class='column hideMarquee' draggable='true' ondragstart='drag(event)' value='T03' id='T03'&gt;&lt;div class='armyCardContainer ssCard'&gt;&lt;div class='ssArmyCard'&gt;&lt;div&gt;&lt;p class='marquee'&gt;The United States Army Trial Defense Service’s mission is to provide a full-range of defense legal services to Soldiers. These services include:&lt;br&gt;Representing Soldiers charged with violations of the Uniform Code of Military Justice (UCMJ) at courts-martial and Article 32 pretrial investigations;&lt;br&gt;Representing Soldiers during criminal investigations and before elimination or grade reduction boards;&lt;br&gt;Counseling Soldiers regarding pretrial restraint, nonjudicial punishment (Article 15s), and various adverse administrative actions taken pursuant to military regulations.&lt;/p&gt;&lt;img src='assets/Card-021.png' class='ssCardImage' draggable='false' loading='lazy'&gt;&lt;/div&gt;&lt;div class='ssTitle'&gt;&lt;span id='T03Title'&gt;Trial Defense Service&lt;/span&gt;&lt;/div&gt;&lt;/div&gt;&lt;/div&gt;&lt;/div&gt;&lt;/div&gt;&lt;script&gt;var jsT03 = document.getElementById('dragT03').innerHTML;&lt;/script&gt;</v>
      </c>
      <c r="AA211" s="1" t="str">
        <f>CONCATENATE("var js",Table1[[#This Row],[IDs]]," = document.getElementbyId('drag",Table1[[#This Row],[IDs]],"').innerHTML; //  ",Table1[[#This Row],[Site]])</f>
        <v>var jsT03 = document.getElementbyId('dragT03').innerHTML; //  Trial Defense Service</v>
      </c>
    </row>
    <row r="212" spans="1:27" ht="15" x14ac:dyDescent="0.25">
      <c r="A212" t="s">
        <v>344</v>
      </c>
      <c r="B212" t="s">
        <v>344</v>
      </c>
      <c r="C212" s="2" t="s">
        <v>345</v>
      </c>
      <c r="D212" t="s">
        <v>670</v>
      </c>
      <c r="E212" t="s">
        <v>853</v>
      </c>
      <c r="F212" s="2" t="s">
        <v>346</v>
      </c>
      <c r="G212" s="2" t="s">
        <v>900</v>
      </c>
      <c r="H212" s="2" t="s">
        <v>552</v>
      </c>
      <c r="I212" s="2"/>
      <c r="J212" s="2"/>
      <c r="K212" s="2"/>
      <c r="L212" s="2"/>
      <c r="M212" s="2"/>
      <c r="N212" s="2" t="s">
        <v>18</v>
      </c>
      <c r="O212" s="2"/>
      <c r="P212" s="2"/>
      <c r="Q212" s="2"/>
      <c r="R212" s="2"/>
      <c r="S212" s="2"/>
      <c r="T212" s="2"/>
      <c r="U212" s="2"/>
      <c r="V212" s="2"/>
      <c r="W212" s="3" t="str">
        <f>CONCATENATE("var js",Table1[[#This Row],[IDs]]," = document.getElementbyId('",Table1[[#This Row],[IDs]],"').innerHTML; //  ",Table1[[#This Row],[Site]])</f>
        <v>var jsT04 = document.getElementbyId('T04').innerHTML; //  Tricare Dental Readiness</v>
      </c>
      <c r="X212" s="1" t="str">
        <f t="shared" si="13"/>
        <v xml:space="preserve">        &lt;!--Tricare Dental Readiness - https://tricare.mil/CoveredServices/Dental/NGRDental/DentalReadiness --&gt;&lt;div class='column catAll catHealth' style='margin-bottom: 0px;' id='T04'&gt;&lt;a href='https://tricare.mil/CoveredServices/Dental/NGRDental/DentalReadiness' rel='noopener noreferrer' class='column hideMarquee'&gt;&lt;div class='armyCardContainer card'&gt;&lt;div class='armyCard'&gt;&lt;div&gt;&lt;p class='marquee'&gt;TRICARE is the health care program for uniformed service members, retirees, and their families around the world. TRICARE provides comprehensive coverage to all beneficiaries, including: Health plans, Special programs, Prescriptions, Dental plans.&lt;/p&gt;&lt;img src='assets/CaCRequired.png' title='A CAC is required to use some or all features of this site!' Class='cacLocked'&gt;&lt;img src='assets/Card-068.png' class='cardImage' loading='lazy'&gt;&lt;/div&gt;&lt;div class='title'&gt;
          &lt;span&gt;Tricare Dental Readiness&lt;/span&gt;&lt;/div&gt;&lt;/div&gt;&lt;/div&gt;&lt;/a&gt;&lt;/div&gt;&lt;script&gt;var jsT04 = document.getElementById('T04').innerHTML;&lt;/script&gt;</v>
      </c>
      <c r="Y212"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Tricare Dental Readiness - https://tricare.mil/CoveredServices/Dental/NGRDental/DentalReadiness --&gt;
      &lt;summary&gt;• &lt;a href='https://tricare.mil/CoveredServices/Dental/NGRDental/DentalReadiness' rel='noopener noreferrer'&gt;Tricare Dental Readiness - https://tricare.mil/CoveredServices/Dental/NGRDental/DentalReadiness&lt;/a&gt;&lt;/summary&gt;
      &lt;p&gt;TRICARE is the health care program for uniformed service members, retirees, and their families around the world. TRICARE provides comprehensive coverage to all beneficiaries, including: Health plans, Special programs, Prescriptions, Dental plans.&lt;/p&gt;
    &lt;/details&gt;</v>
      </c>
      <c r="Z212" s="1" t="str">
        <f t="shared" si="12"/>
        <v xml:space="preserve">          &lt;!-- Tricare Dental Readiness - https://tricare.mil/CoveredServices/Dental/NGRDental/DentalReadiness --&gt;&lt;div id='dragT04' class='catAll catHealth'&gt;&lt;div class='column hideMarquee' draggable='true' ondragstart='drag(event)' value='T04' id='T04'&gt;&lt;div class='armyCardContainer ssCard'&gt;&lt;div class='ssArmyCard'&gt;&lt;div&gt;&lt;p class='marquee'&gt;TRICARE is the health care program for uniformed service members, retirees, and their families around the world. TRICARE provides comprehensive coverage to all beneficiaries, including: Health plans, Special programs, Prescriptions, Dental plans.&lt;/p&gt;&lt;img src='assets/Card-068.png' class='ssCardImage' draggable='false' loading='lazy'&gt;&lt;/div&gt;&lt;div class='ssTitle'&gt;&lt;span id='T04Title'&gt;Tricare Dental Readiness&lt;/span&gt;&lt;/div&gt;&lt;/div&gt;&lt;/div&gt;&lt;/div&gt;&lt;/div&gt;&lt;script&gt;var jsT04 = document.getElementById('dragT04').innerHTML;&lt;/script&gt;</v>
      </c>
      <c r="AA212" s="1" t="str">
        <f>CONCATENATE("var js",Table1[[#This Row],[IDs]]," = document.getElementbyId('drag",Table1[[#This Row],[IDs]],"').innerHTML; //  ",Table1[[#This Row],[Site]])</f>
        <v>var jsT04 = document.getElementbyId('dragT04').innerHTML; //  Tricare Dental Readiness</v>
      </c>
    </row>
    <row r="213" spans="1:27" ht="15" x14ac:dyDescent="0.25">
      <c r="A213" t="s">
        <v>529</v>
      </c>
      <c r="B213" t="s">
        <v>529</v>
      </c>
      <c r="C213" s="9" t="s">
        <v>530</v>
      </c>
      <c r="D213" t="s">
        <v>670</v>
      </c>
      <c r="E213" t="s">
        <v>981</v>
      </c>
      <c r="F213" s="2" t="s">
        <v>937</v>
      </c>
      <c r="G213" s="2" t="s">
        <v>900</v>
      </c>
      <c r="H213" s="2" t="s">
        <v>900</v>
      </c>
      <c r="I213" s="2"/>
      <c r="J213" s="2"/>
      <c r="K213" s="2"/>
      <c r="L213" s="2"/>
      <c r="M213" s="2"/>
      <c r="N213" s="2" t="s">
        <v>18</v>
      </c>
      <c r="O213" s="2"/>
      <c r="P213" s="2"/>
      <c r="Q213" s="2"/>
      <c r="R213" s="2"/>
      <c r="S213" s="2"/>
      <c r="T213" s="2"/>
      <c r="U213" s="2"/>
      <c r="V213" s="2"/>
      <c r="W213" s="3" t="str">
        <f>CONCATENATE("var js",Table1[[#This Row],[IDs]]," = document.getElementbyId('",Table1[[#This Row],[IDs]],"').innerHTML; //  ",Table1[[#This Row],[Site]])</f>
        <v>var jsT07 = document.getElementbyId('T07').innerHTML; //  Tricare Interntational</v>
      </c>
      <c r="X213" s="1" t="str">
        <f t="shared" si="13"/>
        <v xml:space="preserve">        &lt;!--Tricare Interntational - https://www.tricare-overseas.com/ --&gt;&lt;div class='column catAll catHealth' style='margin-bottom: 0px;' id='T07'&gt;&lt;a href='https://www.tricare-overseas.com/' rel='noopener noreferrer' class='column hideMarquee'&gt;&lt;div class='armyCardContainer card'&gt;&lt;div class='armyCard'&gt;&lt;div&gt;&lt;p class='marquee'&gt;The TRICARE Overseas Program (TOP) is the DOD’s health care program for Active Duty Service Members, Active Duty Family Members, and other eligible beneficiaries in geographical areas and waters outside of the U.S. International SOS is proud to support the U.S. military and their families overseas, ensuring quality health care no matter where their work or travels take them.&lt;/p&gt;&lt;img src='assets/Card-068.png' class='cardImage' loading='lazy'&gt;&lt;/div&gt;&lt;div class='title'&gt;
          &lt;span&gt;Tricare Interntational&lt;/span&gt;&lt;/div&gt;&lt;/div&gt;&lt;/div&gt;&lt;/a&gt;&lt;/div&gt;&lt;script&gt;var jsT07 = document.getElementById('T07').innerHTML;&lt;/script&gt;</v>
      </c>
      <c r="Y213"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Tricare Interntational - https://www.tricare-overseas.com/ --&gt;
      &lt;summary&gt;• &lt;a href='https://www.tricare-overseas.com/' rel='noopener noreferrer'&gt;Tricare Interntational - https://www.tricare-overseas.com/&lt;/a&gt;&lt;/summary&gt;
      &lt;p&gt;The TRICARE Overseas Program (TOP) is the DOD’s health care program for Active Duty Service Members, Active Duty Family Members, and other eligible beneficiaries in geographical areas and waters outside of the U.S. International SOS is proud to support the U.S. military and their families overseas, ensuring quality health care no matter where their work or travels take them.&lt;/p&gt;
    &lt;/details&gt;</v>
      </c>
      <c r="Z213" s="1" t="str">
        <f t="shared" si="12"/>
        <v xml:space="preserve">          &lt;!-- Tricare Interntational - https://www.tricare-overseas.com/ --&gt;&lt;div id='dragT07' class='catAll catHealth'&gt;&lt;div class='column hideMarquee' draggable='true' ondragstart='drag(event)' value='T07' id='T07'&gt;&lt;div class='armyCardContainer ssCard'&gt;&lt;div class='ssArmyCard'&gt;&lt;div&gt;&lt;p class='marquee'&gt;The TRICARE Overseas Program (TOP) is the DOD’s health care program for Active Duty Service Members, Active Duty Family Members, and other eligible beneficiaries in geographical areas and waters outside of the U.S. International SOS is proud to support the U.S. military and their families overseas, ensuring quality health care no matter where their work or travels take them.&lt;/p&gt;&lt;img src='assets/Card-068.png' class='ssCardImage' draggable='false' loading='lazy'&gt;&lt;/div&gt;&lt;div class='ssTitle'&gt;&lt;span id='T07Title'&gt;Tricare Interntational&lt;/span&gt;&lt;/div&gt;&lt;/div&gt;&lt;/div&gt;&lt;/div&gt;&lt;/div&gt;&lt;script&gt;var jsT07 = document.getElementById('dragT07').innerHTML;&lt;/script&gt;</v>
      </c>
      <c r="AA213" s="1" t="str">
        <f>CONCATENATE("var js",Table1[[#This Row],[IDs]]," = document.getElementbyId('drag",Table1[[#This Row],[IDs]],"').innerHTML; //  ",Table1[[#This Row],[Site]])</f>
        <v>var jsT07 = document.getElementbyId('dragT07').innerHTML; //  Tricare Interntational</v>
      </c>
    </row>
    <row r="214" spans="1:27" ht="15" x14ac:dyDescent="0.25">
      <c r="A214" t="s">
        <v>854</v>
      </c>
      <c r="B214" t="s">
        <v>854</v>
      </c>
      <c r="C214" s="10" t="s">
        <v>347</v>
      </c>
      <c r="D214" t="s">
        <v>670</v>
      </c>
      <c r="E214" t="s">
        <v>853</v>
      </c>
      <c r="F214" s="2" t="s">
        <v>348</v>
      </c>
      <c r="G214" s="2" t="s">
        <v>900</v>
      </c>
      <c r="H214" s="2" t="s">
        <v>552</v>
      </c>
      <c r="I214" s="2"/>
      <c r="J214" s="2"/>
      <c r="K214" s="2"/>
      <c r="L214" s="2" t="s">
        <v>18</v>
      </c>
      <c r="M214" s="2"/>
      <c r="N214" s="2" t="s">
        <v>18</v>
      </c>
      <c r="O214" s="2"/>
      <c r="P214" s="2"/>
      <c r="Q214" s="2"/>
      <c r="R214" s="2"/>
      <c r="S214" s="2"/>
      <c r="T214" s="2"/>
      <c r="U214" s="2"/>
      <c r="V214" s="2"/>
      <c r="W214" s="3" t="str">
        <f>CONCATENATE("var js",Table1[[#This Row],[IDs]]," = document.getElementbyId('",Table1[[#This Row],[IDs]],"').innerHTML; //  ",Table1[[#This Row],[Site]])</f>
        <v>var jsT05 = document.getElementbyId('T05').innerHTML; //  Tricare Online</v>
      </c>
      <c r="X214" s="1" t="str">
        <f t="shared" si="13"/>
        <v xml:space="preserve">        &lt;!--Tricare Online - https://tricare.mil/ --&gt;&lt;div class='column catAll catFamily catHealth' style='margin-bottom: 0px;' id='T05'&gt;&lt;a href='https://tricare.mil/' rel='noopener noreferrer' class='column hideMarquee'&gt;&lt;div class='armyCardContainer card'&gt;&lt;div class='armyCard'&gt;&lt;div&gt;&lt;p class='marquee'&gt;TRICARE is the health care program for uniformed service members, retirees, and their families around the world. TRICARE provides comprehensive coverage to all beneficiaries, including: Health plans, Special programs, Prescriptions, Dental plans.&lt;/p&gt;&lt;img src='assets/CaCRequired.png' title='A CAC is required to use some or all features of this site!' Class='cacLocked'&gt;&lt;img src='assets/Card-068.png' class='cardImage' loading='lazy'&gt;&lt;/div&gt;&lt;div class='title'&gt;
          &lt;span&gt;Tricare Online&lt;/span&gt;&lt;/div&gt;&lt;/div&gt;&lt;/div&gt;&lt;/a&gt;&lt;/div&gt;&lt;script&gt;var jsT05 = document.getElementById('T05').innerHTML;&lt;/script&gt;</v>
      </c>
      <c r="Y214"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Tricare Online - https://tricare.mil/ --&gt;
      &lt;summary&gt;• &lt;a href='https://tricare.mil/' rel='noopener noreferrer'&gt;Tricare Online - https://tricare.mil/&lt;/a&gt;&lt;/summary&gt;
      &lt;p&gt;TRICARE is the health care program for uniformed service members, retirees, and their families around the world. TRICARE provides comprehensive coverage to all beneficiaries, including: Health plans, Special programs, Prescriptions, Dental plans.&lt;/p&gt;
    &lt;/details&gt;</v>
      </c>
      <c r="Z214" s="1" t="str">
        <f t="shared" si="12"/>
        <v xml:space="preserve">          &lt;!-- Tricare Online - https://tricare.mil/ --&gt;&lt;div id='dragT05' class='catAll catFamily catHealth'&gt;&lt;div class='column hideMarquee' draggable='true' ondragstart='drag(event)' value='T05' id='T05'&gt;&lt;div class='armyCardContainer ssCard'&gt;&lt;div class='ssArmyCard'&gt;&lt;div&gt;&lt;p class='marquee'&gt;TRICARE is the health care program for uniformed service members, retirees, and their families around the world. TRICARE provides comprehensive coverage to all beneficiaries, including: Health plans, Special programs, Prescriptions, Dental plans.&lt;/p&gt;&lt;img src='assets/Card-068.png' class='ssCardImage' draggable='false' loading='lazy'&gt;&lt;/div&gt;&lt;div class='ssTitle'&gt;&lt;span id='T05Title'&gt;Tricare Online&lt;/span&gt;&lt;/div&gt;&lt;/div&gt;&lt;/div&gt;&lt;/div&gt;&lt;/div&gt;&lt;script&gt;var jsT05 = document.getElementById('dragT05').innerHTML;&lt;/script&gt;</v>
      </c>
      <c r="AA214" s="1" t="str">
        <f>CONCATENATE("var js",Table1[[#This Row],[IDs]]," = document.getElementbyId('drag",Table1[[#This Row],[IDs]],"').innerHTML; //  ",Table1[[#This Row],[Site]])</f>
        <v>var jsT05 = document.getElementbyId('dragT05').innerHTML; //  Tricare Online</v>
      </c>
    </row>
    <row r="215" spans="1:27" ht="15" x14ac:dyDescent="0.25">
      <c r="A215" t="s">
        <v>349</v>
      </c>
      <c r="B215" t="s">
        <v>349</v>
      </c>
      <c r="C215" s="10" t="s">
        <v>350</v>
      </c>
      <c r="D215" t="s">
        <v>856</v>
      </c>
      <c r="E215" t="s">
        <v>855</v>
      </c>
      <c r="F215" s="2" t="s">
        <v>351</v>
      </c>
      <c r="G215" s="2" t="s">
        <v>900</v>
      </c>
      <c r="H215" s="2" t="s">
        <v>552</v>
      </c>
      <c r="I215" s="2"/>
      <c r="J215" s="2"/>
      <c r="K215" s="2"/>
      <c r="L215" s="2"/>
      <c r="M215" s="2"/>
      <c r="N215" s="2"/>
      <c r="O215" s="2"/>
      <c r="P215" s="2"/>
      <c r="Q215" s="2"/>
      <c r="R215" s="2" t="s">
        <v>18</v>
      </c>
      <c r="S215" s="2"/>
      <c r="T215" s="2"/>
      <c r="U215" s="2"/>
      <c r="V215" s="2"/>
      <c r="W215" s="3" t="str">
        <f>CONCATENATE("var js",Table1[[#This Row],[IDs]]," = document.getElementbyId('",Table1[[#This Row],[IDs]],"').innerHTML; //  ",Table1[[#This Row],[Site]])</f>
        <v>var jsT06 = document.getElementbyId('T06').innerHTML; //  Trusted End Node Security (TENS)</v>
      </c>
      <c r="X215" s="1" t="str">
        <f t="shared" si="13"/>
        <v xml:space="preserve">        &lt;!--Trusted End Node Security (TENS) - https://www.spi.dod.mil/lipose.htm --&gt;&lt;div class='column catAll catTech' style='margin-bottom: 0px;' id='T06'&gt;&lt;a href='https://www.spi.dod.mil/lipose.htm' rel='noopener noreferrer' class='column hideMarquee'&gt;&lt;div class='armyCardContainer card'&gt;&lt;div class='armyCard'&gt;&lt;div&gt;&lt;p class='marquee'&gt;Trusted End Node Security (TENS) creates a secure end node from trusted media on almost any Intel-based computer (PC or Mac). TENS boots a thin Linux operating system from removable media without mounting a local hard drive. Administrator privileges are not required; nothing is installed. TENS turns an untrusted system (such as a home computer) into a trusted network client. No trace of work activity or malware can be written to the local computer. Simply plug in your USB smart card reader to access CAC and PIV-restricted US government websites.&lt;/p&gt;&lt;img src='assets/CaCRequired.png' title='A CAC is required to use some or all features of this site!' Class='cacLocked'&gt;&lt;img src='assets/Card-091.png' class='cardImage' loading='lazy'&gt;&lt;/div&gt;&lt;div class='title'&gt;
          &lt;span&gt;Trusted End Node Security (TENS)&lt;/span&gt;&lt;/div&gt;&lt;/div&gt;&lt;/div&gt;&lt;/a&gt;&lt;/div&gt;&lt;script&gt;var jsT06 = document.getElementById('T06').innerHTML;&lt;/script&gt;</v>
      </c>
      <c r="Y215"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Trusted End Node Security (TENS) - https://www.spi.dod.mil/lipose.htm --&gt;
      &lt;summary&gt;• &lt;a href='https://www.spi.dod.mil/lipose.htm' rel='noopener noreferrer'&gt;Trusted End Node Security (TENS) - https://www.spi.dod.mil/lipose.htm&lt;/a&gt;&lt;/summary&gt;
      &lt;p&gt;Trusted End Node Security (TENS) creates a secure end node from trusted media on almost any Intel-based computer (PC or Mac). TENS boots a thin Linux operating system from removable media without mounting a local hard drive. Administrator privileges are not required; nothing is installed. TENS turns an untrusted system (such as a home computer) into a trusted network client. No trace of work activity or malware can be written to the local computer. Simply plug in your USB smart card reader to access CAC and PIV-restricted US government websites.&lt;/p&gt;
    &lt;/details&gt;</v>
      </c>
      <c r="Z215" s="1" t="str">
        <f t="shared" si="12"/>
        <v xml:space="preserve">          &lt;!-- Trusted End Node Security (TENS) - https://www.spi.dod.mil/lipose.htm --&gt;&lt;div id='dragT06' class='catAll catTech'&gt;&lt;div class='column hideMarquee' draggable='true' ondragstart='drag(event)' value='T06' id='T06'&gt;&lt;div class='armyCardContainer ssCard'&gt;&lt;div class='ssArmyCard'&gt;&lt;div&gt;&lt;p class='marquee'&gt;Trusted End Node Security (TENS) creates a secure end node from trusted media on almost any Intel-based computer (PC or Mac). TENS boots a thin Linux operating system from removable media without mounting a local hard drive. Administrator privileges are not required; nothing is installed. TENS turns an untrusted system (such as a home computer) into a trusted network client. No trace of work activity or malware can be written to the local computer. Simply plug in your USB smart card reader to access CAC and PIV-restricted US government websites.&lt;/p&gt;&lt;img src='assets/Card-091.png' class='ssCardImage' draggable='false' loading='lazy'&gt;&lt;/div&gt;&lt;div class='ssTitle'&gt;&lt;span id='T06Title'&gt;Trusted End Node Security (TENS)&lt;/span&gt;&lt;/div&gt;&lt;/div&gt;&lt;/div&gt;&lt;/div&gt;&lt;/div&gt;&lt;script&gt;var jsT06 = document.getElementById('dragT06').innerHTML;&lt;/script&gt;</v>
      </c>
      <c r="AA215" s="1" t="str">
        <f>CONCATENATE("var js",Table1[[#This Row],[IDs]]," = document.getElementbyId('drag",Table1[[#This Row],[IDs]],"').innerHTML; //  ",Table1[[#This Row],[Site]])</f>
        <v>var jsT06 = document.getElementbyId('dragT06').innerHTML; //  Trusted End Node Security (TENS)</v>
      </c>
    </row>
    <row r="216" spans="1:27" ht="15" x14ac:dyDescent="0.25">
      <c r="A216" t="s">
        <v>352</v>
      </c>
      <c r="B216" t="s">
        <v>352</v>
      </c>
      <c r="C216" s="10" t="s">
        <v>353</v>
      </c>
      <c r="D216" t="s">
        <v>858</v>
      </c>
      <c r="E216" t="s">
        <v>857</v>
      </c>
      <c r="F216" s="2" t="s">
        <v>354</v>
      </c>
      <c r="G216" s="2" t="s">
        <v>900</v>
      </c>
      <c r="H216" s="2" t="s">
        <v>900</v>
      </c>
      <c r="I216" s="2"/>
      <c r="J216" s="2"/>
      <c r="K216" s="2" t="s">
        <v>18</v>
      </c>
      <c r="L216" s="2"/>
      <c r="M216" s="2"/>
      <c r="N216" s="2"/>
      <c r="O216" s="2"/>
      <c r="P216" s="2" t="s">
        <v>18</v>
      </c>
      <c r="Q216" s="2"/>
      <c r="R216" s="2"/>
      <c r="S216" s="2"/>
      <c r="T216" s="2"/>
      <c r="U216" s="2"/>
      <c r="V216" s="2"/>
      <c r="W216" s="3" t="str">
        <f>CONCATENATE("var js",Table1[[#This Row],[IDs]]," = document.getElementbyId('",Table1[[#This Row],[IDs]],"').innerHTML; //  ",Table1[[#This Row],[Site]])</f>
        <v>var jsU00 = document.getElementbyId('U00').innerHTML; //  U.S. Armed Forces Legal Assistance</v>
      </c>
      <c r="X216" s="1" t="str">
        <f t="shared" si="13"/>
        <v xml:space="preserve">        &lt;!--U.S. Armed Forces Legal Assistance - https://legalassistance.law.af.mil/ --&gt;&lt;div class='column catAll catDod catLegal' style='margin-bottom: 0px;' id='U00'&gt;&lt;a href='https://legalassistance.law.af.mil/' rel='noopener noreferrer' class='column hideMarquee'&gt;&lt;div class='armyCardContainer card'&gt;&lt;div class='armyCard'&gt;&lt;div&gt;&lt;p class='marquee'&gt;U.S. Armed Forces Legal Assistance (AFLASS) will locate all legal offices and their contact information on military posts.&lt;/p&gt;&lt;img src='assets/Card-075.png' class='cardImage' loading='lazy'&gt;&lt;/div&gt;&lt;div class='title'&gt;
          &lt;span&gt;U.S. Armed Forces Legal Assistance&lt;/span&gt;&lt;/div&gt;&lt;/div&gt;&lt;/div&gt;&lt;/a&gt;&lt;/div&gt;&lt;script&gt;var jsU00 = document.getElementById('U00').innerHTML;&lt;/script&gt;</v>
      </c>
      <c r="Y216"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U.S. Armed Forces Legal Assistance - https://legalassistance.law.af.mil/ --&gt;
      &lt;summary&gt;• &lt;a href='https://legalassistance.law.af.mil/' rel='noopener noreferrer'&gt;U.S. Armed Forces Legal Assistance - https://legalassistance.law.af.mil/&lt;/a&gt;&lt;/summary&gt;
      &lt;p&gt;U.S. Armed Forces Legal Assistance (AFLASS) will locate all legal offices and their contact information on military posts.&lt;/p&gt;
    &lt;/details&gt;</v>
      </c>
      <c r="Z216" s="1" t="str">
        <f t="shared" si="12"/>
        <v xml:space="preserve">          &lt;!-- U.S. Armed Forces Legal Assistance - https://legalassistance.law.af.mil/ --&gt;&lt;div id='dragU00' class='catAll catDod catLegal'&gt;&lt;div class='column hideMarquee' draggable='true' ondragstart='drag(event)' value='U00' id='U00'&gt;&lt;div class='armyCardContainer ssCard'&gt;&lt;div class='ssArmyCard'&gt;&lt;div&gt;&lt;p class='marquee'&gt;U.S. Armed Forces Legal Assistance (AFLASS) will locate all legal offices and their contact information on military posts.&lt;/p&gt;&lt;img src='assets/Card-075.png' class='ssCardImage' draggable='false' loading='lazy'&gt;&lt;/div&gt;&lt;div class='ssTitle'&gt;&lt;span id='U00Title'&gt;U.S. Armed Forces Legal Assistance&lt;/span&gt;&lt;/div&gt;&lt;/div&gt;&lt;/div&gt;&lt;/div&gt;&lt;/div&gt;&lt;script&gt;var jsU00 = document.getElementById('dragU00').innerHTML;&lt;/script&gt;</v>
      </c>
      <c r="AA216" s="1" t="str">
        <f>CONCATENATE("var js",Table1[[#This Row],[IDs]]," = document.getElementbyId('drag",Table1[[#This Row],[IDs]],"').innerHTML; //  ",Table1[[#This Row],[Site]])</f>
        <v>var jsU00 = document.getElementbyId('dragU00').innerHTML; //  U.S. Armed Forces Legal Assistance</v>
      </c>
    </row>
    <row r="217" spans="1:27" ht="15" x14ac:dyDescent="0.25">
      <c r="A217" t="s">
        <v>879</v>
      </c>
      <c r="B217" t="s">
        <v>879</v>
      </c>
      <c r="C217" s="9" t="s">
        <v>495</v>
      </c>
      <c r="D217" t="s">
        <v>623</v>
      </c>
      <c r="E217" s="13" t="s">
        <v>915</v>
      </c>
      <c r="F217" s="2" t="s">
        <v>440</v>
      </c>
      <c r="G217" s="2" t="s">
        <v>900</v>
      </c>
      <c r="H217" s="2" t="s">
        <v>900</v>
      </c>
      <c r="I217" s="2" t="s">
        <v>18</v>
      </c>
      <c r="J217" s="2"/>
      <c r="K217" s="2"/>
      <c r="L217" s="2"/>
      <c r="M217" s="2"/>
      <c r="N217" s="2"/>
      <c r="O217" s="2"/>
      <c r="P217" s="2"/>
      <c r="Q217" s="2"/>
      <c r="R217" s="2"/>
      <c r="S217" s="2" t="s">
        <v>18</v>
      </c>
      <c r="T217" s="2"/>
      <c r="U217" s="2"/>
      <c r="V217" s="2"/>
      <c r="W217" s="3" t="str">
        <f>CONCATENATE("var js",Table1[[#This Row],[IDs]]," = document.getElementbyId('",Table1[[#This Row],[IDs]],"').innerHTML; //  ",Table1[[#This Row],[Site]])</f>
        <v>var jsU01 = document.getElementbyId('U01').innerHTML; //  U.S. Army CBRN School</v>
      </c>
      <c r="X217" s="1" t="str">
        <f t="shared" si="13"/>
        <v xml:space="preserve">        &lt;!--U.S. Army CBRN School - https://home.army.mil/wood/index.php/units-tenants/USACBRNS --&gt;&lt;div class='column catAll catArmySites catMilEd' style='margin-bottom: 0px;' id='U01'&gt;&lt;a href='https://home.army.mil/wood/index.php/units-tenants/USACBRNS' rel='noopener noreferrer' class='column hideMarquee'&gt;&lt;div class='armyCardContainer card'&gt;&lt;div class='armyCard'&gt;&lt;div&gt;&lt;p class='marquee'&gt;The USACBRNS will design, acquire, and build the Army's future CBRN capability, and constantly improve it using the DOTMLPF process to ensure the Army is postured to Fight and Win in a CBRN Environment. &lt;/p&gt;&lt;img src='assets/Card-001.png' class='cardImage' loading='lazy'&gt;&lt;/div&gt;&lt;div class='title'&gt;
          &lt;span&gt;U.S. Army CBRN School&lt;/span&gt;&lt;/div&gt;&lt;/div&gt;&lt;/div&gt;&lt;/a&gt;&lt;/div&gt;&lt;script&gt;var jsU01 = document.getElementById('U01').innerHTML;&lt;/script&gt;</v>
      </c>
      <c r="Y217"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U.S. Army CBRN School - https://home.army.mil/wood/index.php/units-tenants/USACBRNS --&gt;
      &lt;summary&gt;• &lt;a href='https://home.army.mil/wood/index.php/units-tenants/USACBRNS' rel='noopener noreferrer'&gt;U.S. Army CBRN School - https://home.army.mil/wood/index.php/units-tenants/USACBRNS&lt;/a&gt;&lt;/summary&gt;
      &lt;p&gt;The USACBRNS will design, acquire, and build the Army's future CBRN capability, and constantly improve it using the DOTMLPF process to ensure the Army is postured to Fight and Win in a CBRN Environment. &lt;/p&gt;
    &lt;/details&gt;</v>
      </c>
      <c r="Z217" s="1" t="str">
        <f t="shared" si="12"/>
        <v xml:space="preserve">          &lt;!-- U.S. Army CBRN School - https://home.army.mil/wood/index.php/units-tenants/USACBRNS --&gt;&lt;div id='dragU01' class='catAll catArmySites catMilEd'&gt;&lt;div class='column hideMarquee' draggable='true' ondragstart='drag(event)' value='U01' id='U01'&gt;&lt;div class='armyCardContainer ssCard'&gt;&lt;div class='ssArmyCard'&gt;&lt;div&gt;&lt;p class='marquee'&gt;The USACBRNS will design, acquire, and build the Army's future CBRN capability, and constantly improve it using the DOTMLPF process to ensure the Army is postured to Fight and Win in a CBRN Environment. &lt;/p&gt;&lt;img src='assets/Card-001.png' class='ssCardImage' draggable='false' loading='lazy'&gt;&lt;/div&gt;&lt;div class='ssTitle'&gt;&lt;span id='U01Title'&gt;U.S. Army CBRN School&lt;/span&gt;&lt;/div&gt;&lt;/div&gt;&lt;/div&gt;&lt;/div&gt;&lt;/div&gt;&lt;script&gt;var jsU01 = document.getElementById('dragU01').innerHTML;&lt;/script&gt;</v>
      </c>
      <c r="AA217" s="1" t="str">
        <f>CONCATENATE("var js",Table1[[#This Row],[IDs]]," = document.getElementbyId('drag",Table1[[#This Row],[IDs]],"').innerHTML; //  ",Table1[[#This Row],[Site]])</f>
        <v>var jsU01 = document.getElementbyId('dragU01').innerHTML; //  U.S. Army CBRN School</v>
      </c>
    </row>
    <row r="218" spans="1:27" ht="15" x14ac:dyDescent="0.25">
      <c r="A218" s="1" t="s">
        <v>1033</v>
      </c>
      <c r="B218" t="s">
        <v>957</v>
      </c>
      <c r="C218" s="6" t="s">
        <v>443</v>
      </c>
      <c r="D218" t="s">
        <v>623</v>
      </c>
      <c r="E218" t="s">
        <v>859</v>
      </c>
      <c r="F218" s="2" t="s">
        <v>444</v>
      </c>
      <c r="G218" s="2" t="s">
        <v>552</v>
      </c>
      <c r="H218" s="2" t="s">
        <v>552</v>
      </c>
      <c r="I218" s="2" t="s">
        <v>18</v>
      </c>
      <c r="J218" s="2"/>
      <c r="K218" s="2"/>
      <c r="L218" s="2"/>
      <c r="M218" s="2" t="s">
        <v>18</v>
      </c>
      <c r="N218" s="2"/>
      <c r="O218" s="2" t="s">
        <v>18</v>
      </c>
      <c r="P218" s="2"/>
      <c r="Q218" s="2"/>
      <c r="R218" s="2"/>
      <c r="S218" s="2"/>
      <c r="T218" s="2"/>
      <c r="U218" s="2"/>
      <c r="V218" s="2"/>
      <c r="W218" s="3" t="str">
        <f>CONCATENATE("var js",Table1[[#This Row],[IDs]]," = document.getElementbyId('",Table1[[#This Row],[IDs]],"').innerHTML; //  ",Table1[[#This Row],[Site]])</f>
        <v>var jsU02 = document.getElementbyId('U02').innerHTML; //  Unit Commander’s Finance Report (UCFR)</v>
      </c>
      <c r="X218" s="1" t="str">
        <f t="shared" si="13"/>
        <v xml:space="preserve">        &lt;!--Unit Commander’s Finance Report (UCFR) - https://lt-apps-priv.dfas.mil/ucfr/ --&gt;&lt;div class='column catAll catArmySites catFinance catHuman' style='margin-bottom: 0px;' id='U02'&gt;&lt;a href='https://lt-apps-priv.dfas.mil/ucfr/' rel='noopener noreferrer' class='column hideMarquee'&gt;&lt;div class='armyCardContainer card'&gt;&lt;div class='armyCard'&gt;&lt;div&gt;&lt;p class='marquee'&gt;Unit Commander’s Finance Report (UCFR) is an extremely valuable management tool provided to unit commanders once a month. The report provides the unit commander a one-line rollup of a Soldier's monthly pay account status making it easier to review the Soldier's pay. All available documents in the battalion S-1 or the unit PAC should be used to verify data on the UCFR (e.g. unit rosters, AAA-162 Unit Personnel Accountability Report, (eMILPO), DA Form 4187s, AWOL files, Article15 files, etc.).&lt;/p&gt;&lt;img src='assets/CaCRequired.png' title='A CAC is required to use some or all features of this site!' Class='cacLocked'&gt;&lt;img src='assets/DODlock.png' title='This Site requires a DoD network connection to be used!' Class='dodLocked'&gt;&lt;img src='assets/Card-001.png' class='cardImage' loading='lazy'&gt;&lt;/div&gt;&lt;div class='title'&gt;
          &lt;span&gt;Unit Commander’s Finance Report (UCFR)&lt;/span&gt;&lt;/div&gt;&lt;/div&gt;&lt;/div&gt;&lt;/a&gt;&lt;/div&gt;&lt;script&gt;var jsU02 = document.getElementById('U02').innerHTML;&lt;/script&gt;</v>
      </c>
      <c r="Y218" s="1"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Unit Commander’s Finance Report (UCFR) - https://lt-apps-priv.dfas.mil/ucfr/ --&gt;
      &lt;summary&gt;• &lt;a href='https://lt-apps-priv.dfas.mil/ucfr/' rel='noopener noreferrer'&gt;Unit Commander’s Finance Report (UCFR) - https://lt-apps-priv.dfas.mil/ucfr/&lt;/a&gt;&lt;/summary&gt;
      &lt;p&gt;Unit Commander’s Finance Report (UCFR) is an extremely valuable management tool provided to unit commanders once a month. The report provides the unit commander a one-line rollup of a Soldier's monthly pay account status making it easier to review the Soldier's pay. All available documents in the battalion S-1 or the unit PAC should be used to verify data on the UCFR (e.g. unit rosters, AAA-162 Unit Personnel Accountability Report, (eMILPO), DA Form 4187s, AWOL files, Article15 files, etc.).&lt;/p&gt;
    &lt;/details&gt;</v>
      </c>
      <c r="Z218" s="1" t="str">
        <f t="shared" si="12"/>
        <v xml:space="preserve">          &lt;!-- Unit Commander’s Finance Repor&lt;br&gt;(UCFR) - https://lt-apps-priv.dfas.mil/ucfr/ --&gt;&lt;div id='dragU02' class='catAll catArmySites catFinance catHuman'&gt;&lt;div class='column hideMarquee' draggable='true' ondragstart='drag(event)' value='U02' id='U02'&gt;&lt;div class='armyCardContainer ssCard'&gt;&lt;div class='ssArmyCard'&gt;&lt;div&gt;&lt;p class='marquee'&gt;Unit Commander’s Finance Report (UCFR) is an extremely valuable management tool provided to unit commanders once a month. The report provides the unit commander a one-line rollup of a Soldier's monthly pay account status making it easier to review the Soldier's pay. All available documents in the battalion S-1 or the unit PAC should be used to verify data on the UCFR (e.g. unit rosters, AAA-162 Unit Personnel Accountability Report, (eMILPO), DA Form 4187s, AWOL files, Article15 files, etc.).&lt;/p&gt;&lt;img src='assets/Card-001.png' class='ssCardImage' draggable='false' loading='lazy'&gt;&lt;/div&gt;&lt;div class='ssTitle'&gt;&lt;span id='U02Title'&gt;Unit Commander’s Finance Report (UCFR)&lt;/span&gt;&lt;/div&gt;&lt;/div&gt;&lt;/div&gt;&lt;/div&gt;&lt;/div&gt;&lt;script&gt;var jsU02 = document.getElementById('dragU02').innerHTML;&lt;/script&gt;</v>
      </c>
      <c r="AA218" s="1" t="str">
        <f>CONCATENATE("var js",Table1[[#This Row],[IDs]]," = document.getElementbyId('drag",Table1[[#This Row],[IDs]],"').innerHTML; //  ",Table1[[#This Row],[Site]])</f>
        <v>var jsU02 = document.getElementbyId('dragU02').innerHTML; //  Unit Commander’s Finance Report (UCFR)</v>
      </c>
    </row>
    <row r="219" spans="1:27" ht="15" x14ac:dyDescent="0.25">
      <c r="A219" t="s">
        <v>439</v>
      </c>
      <c r="B219" t="s">
        <v>439</v>
      </c>
      <c r="C219" s="10" t="s">
        <v>450</v>
      </c>
      <c r="D219" t="s">
        <v>861</v>
      </c>
      <c r="E219" t="s">
        <v>860</v>
      </c>
      <c r="F219" s="2" t="s">
        <v>440</v>
      </c>
      <c r="G219" s="2" t="s">
        <v>900</v>
      </c>
      <c r="H219" s="2" t="s">
        <v>552</v>
      </c>
      <c r="I219" s="2"/>
      <c r="J219" s="2"/>
      <c r="K219" s="2"/>
      <c r="L219" s="2"/>
      <c r="M219" s="2"/>
      <c r="N219" s="2"/>
      <c r="O219" s="2"/>
      <c r="P219" s="2"/>
      <c r="Q219" s="2" t="s">
        <v>18</v>
      </c>
      <c r="R219" s="2"/>
      <c r="S219" s="2"/>
      <c r="T219" s="2" t="s">
        <v>18</v>
      </c>
      <c r="U219" s="2" t="s">
        <v>18</v>
      </c>
      <c r="V219" s="2"/>
      <c r="W219" s="3" t="str">
        <f>CONCATENATE("var js",Table1[[#This Row],[IDs]]," = document.getElementbyId('",Table1[[#This Row],[IDs]],"').innerHTML; //  ",Table1[[#This Row],[Site]])</f>
        <v>var jsU01 = document.getElementbyId('U01').innerHTML; //  United Services Military Apprenticeship Program (USMAP)</v>
      </c>
      <c r="X219" s="1" t="str">
        <f t="shared" si="13"/>
        <v xml:space="preserve">        &lt;!--United Services Military Apprenticeship Program (USMAP) - https://usmap.osd.mil/index.htm --&gt;&lt;div class='column catAll catProDev catCivEd catUsGov' style='margin-bottom: 0px;' id='U01'&gt;&lt;a href='https://usmap.osd.mil/index.htm' rel='noopener noreferrer' class='column hideMarquee'&gt;&lt;div class='armyCardContainer card'&gt;&lt;div class='armyCard'&gt;&lt;div&gt;&lt;p class='marquee'&gt;The United Services Military Apprenticeship Program (USMAP) is a formal military training program that provides U.S. Army, Navy, Air Force, Marine Corps, Coast Guard, reserve and guard members the opportunity to improve their job skills and to achieve recognition for military service member equal to his/her civilian counterpart.&lt;/p&gt;&lt;img src='assets/CaCRequired.png' title='A CAC is required to use some or all features of this site!' Class='cacLocked'&gt;&lt;img src='assets/Card-139.png' class='cardImage' loading='lazy'&gt;&lt;/div&gt;&lt;div class='title'&gt;
          &lt;span&gt;United Services Military Apprenticeship Program (USMAP)&lt;/span&gt;&lt;/div&gt;&lt;/div&gt;&lt;/div&gt;&lt;/a&gt;&lt;/div&gt;&lt;script&gt;var jsU01 = document.getElementById('U01').innerHTML;&lt;/script&gt;</v>
      </c>
      <c r="Y219"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United Services Military Apprenticeship Program (USMAP) - https://usmap.osd.mil/index.htm --&gt;
      &lt;summary&gt;• &lt;a href='https://usmap.osd.mil/index.htm' rel='noopener noreferrer'&gt;United Services Military Apprenticeship Program (USMAP) - https://usmap.osd.mil/index.htm&lt;/a&gt;&lt;/summary&gt;
      &lt;p&gt;The United Services Military Apprenticeship Program (USMAP) is a formal military training program that provides U.S. Army, Navy, Air Force, Marine Corps, Coast Guard, reserve and guard members the opportunity to improve their job skills and to achieve recognition for military service member equal to his/her civilian counterpart.&lt;/p&gt;
    &lt;/details&gt;</v>
      </c>
      <c r="Z219" s="2" t="str">
        <f t="shared" si="12"/>
        <v xml:space="preserve">          &lt;!-- United Services Military Apprenticeship Program (USMAP) - https://usmap.osd.mil/index.htm --&gt;&lt;div id='dragU01' class='catAll catProDev catCivEd catUsGov'&gt;&lt;div class='column hideMarquee' draggable='true' ondragstart='drag(event)' value='U01' id='U01'&gt;&lt;div class='armyCardContainer ssCard'&gt;&lt;div class='ssArmyCard'&gt;&lt;div&gt;&lt;p class='marquee'&gt;The United Services Military Apprenticeship Program (USMAP) is a formal military training program that provides U.S. Army, Navy, Air Force, Marine Corps, Coast Guard, reserve and guard members the opportunity to improve their job skills and to achieve recognition for military service member equal to his/her civilian counterpart.&lt;/p&gt;&lt;img src='assets/Card-139.png' class='ssCardImage' draggable='false' loading='lazy'&gt;&lt;/div&gt;&lt;div class='ssTitle'&gt;&lt;span id='U01Title'&gt;United Services Military Apprenticeship Program (USMAP)&lt;/span&gt;&lt;/div&gt;&lt;/div&gt;&lt;/div&gt;&lt;/div&gt;&lt;/div&gt;&lt;script&gt;var jsU01 = document.getElementById('dragU01').innerHTML;&lt;/script&gt;</v>
      </c>
      <c r="AA219" s="2" t="str">
        <f>CONCATENATE("var js",Table1[[#This Row],[IDs]]," = document.getElementbyId('drag",Table1[[#This Row],[IDs]],"').innerHTML; //  ",Table1[[#This Row],[Site]])</f>
        <v>var jsU01 = document.getElementbyId('dragU01').innerHTML; //  United Services Military Apprenticeship Program (USMAP)</v>
      </c>
    </row>
    <row r="220" spans="1:27" ht="15" x14ac:dyDescent="0.25">
      <c r="A220" t="s">
        <v>525</v>
      </c>
      <c r="B220" t="s">
        <v>525</v>
      </c>
      <c r="C220" s="10" t="s">
        <v>894</v>
      </c>
      <c r="D220" t="s">
        <v>977</v>
      </c>
      <c r="E220" s="1" t="s">
        <v>922</v>
      </c>
      <c r="F220" s="2" t="s">
        <v>248</v>
      </c>
      <c r="G220" s="2" t="s">
        <v>900</v>
      </c>
      <c r="H220" s="2" t="s">
        <v>900</v>
      </c>
      <c r="I220" s="2"/>
      <c r="J220" s="2"/>
      <c r="K220" s="2" t="s">
        <v>18</v>
      </c>
      <c r="L220" s="2"/>
      <c r="M220" s="2"/>
      <c r="N220" s="2"/>
      <c r="O220" s="2"/>
      <c r="P220" s="2"/>
      <c r="Q220" s="2"/>
      <c r="R220" s="2"/>
      <c r="S220" s="2"/>
      <c r="T220" s="2"/>
      <c r="U220" s="2" t="s">
        <v>18</v>
      </c>
      <c r="V220" s="2"/>
      <c r="W220" s="3" t="str">
        <f>CONCATENATE("var js",Table1[[#This Row],[IDs]]," = document.getElementbyId('",Table1[[#This Row],[IDs]],"').innerHTML; //  ",Table1[[#This Row],[Site]])</f>
        <v>var jsM02 = document.getElementbyId('M02').innerHTML; //  Veteran's Affairs</v>
      </c>
      <c r="X220" s="2" t="str">
        <f t="shared" si="13"/>
        <v xml:space="preserve">        &lt;!--Veteran's Affairs - https://va.gov/ --&gt;&lt;div class='column catAll catDod catUsGov' style='margin-bottom: 0px;' id='M02'&gt;&lt;a href='https://va.gov/' rel='noopener noreferrer' class='column hideMarquee'&gt;&lt;div class='armyCardContainer card'&gt;&lt;div class='armyCard'&gt;&lt;div&gt;&lt;p class='marquee'&gt;It’s the Department of Veteran's Affairs. &lt;/p&gt;&lt;img src='assets/Card-169.png' class='cardImage' loading='lazy'&gt;&lt;/div&gt;&lt;div class='title'&gt;
          &lt;span&gt;Veteran's Affairs&lt;/span&gt;&lt;/div&gt;&lt;/div&gt;&lt;/div&gt;&lt;/a&gt;&lt;/div&gt;&lt;script&gt;var jsM02 = document.getElementById('M02').innerHTML;&lt;/script&gt;</v>
      </c>
      <c r="Y220"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Veteran's Affairs - https://va.gov/ --&gt;
      &lt;summary&gt;• &lt;a href='https://va.gov/' rel='noopener noreferrer'&gt;Veteran's Affairs - https://va.gov/&lt;/a&gt;&lt;/summary&gt;
      &lt;p&gt;It’s the Department of Veteran's Affairs. &lt;/p&gt;
    &lt;/details&gt;</v>
      </c>
      <c r="Z220" s="2" t="str">
        <f t="shared" si="12"/>
        <v xml:space="preserve">          &lt;!-- Veteran's Affairs - https://va.gov/ --&gt;&lt;div id='dragM02' class='catAll catDod catUsGov'&gt;&lt;div class='column hideMarquee' draggable='true' ondragstart='drag(event)' value='M02' id='M02'&gt;&lt;div class='armyCardContainer ssCard'&gt;&lt;div class='ssArmyCard'&gt;&lt;div&gt;&lt;p class='marquee'&gt;It’s the Department of Veteran's Affairs. &lt;/p&gt;&lt;img src='assets/Card-169.png' class='ssCardImage' draggable='false' loading='lazy'&gt;&lt;/div&gt;&lt;div class='ssTitle'&gt;&lt;span id='M02Title'&gt;Veteran's Affairs&lt;/span&gt;&lt;/div&gt;&lt;/div&gt;&lt;/div&gt;&lt;/div&gt;&lt;/div&gt;&lt;script&gt;var jsM02 = document.getElementById('dragM02').innerHTML;&lt;/script&gt;</v>
      </c>
      <c r="AA220" s="2" t="str">
        <f>CONCATENATE("var js",Table1[[#This Row],[IDs]]," = document.getElementbyId('drag",Table1[[#This Row],[IDs]],"').innerHTML; //  ",Table1[[#This Row],[Site]])</f>
        <v>var jsM02 = document.getElementbyId('dragM02').innerHTML; //  Veteran's Affairs</v>
      </c>
    </row>
    <row r="221" spans="1:27" ht="15" x14ac:dyDescent="0.25">
      <c r="A221" t="s">
        <v>378</v>
      </c>
      <c r="B221" t="s">
        <v>378</v>
      </c>
      <c r="C221" s="5" t="s">
        <v>377</v>
      </c>
      <c r="D221" t="s">
        <v>863</v>
      </c>
      <c r="E221" t="s">
        <v>862</v>
      </c>
      <c r="F221" s="2" t="s">
        <v>357</v>
      </c>
      <c r="G221" s="2" t="s">
        <v>900</v>
      </c>
      <c r="H221" s="2" t="s">
        <v>552</v>
      </c>
      <c r="I221" s="2"/>
      <c r="J221" s="2"/>
      <c r="K221" s="2"/>
      <c r="L221" s="2"/>
      <c r="M221" s="2"/>
      <c r="N221" s="2"/>
      <c r="O221" s="2"/>
      <c r="P221" s="2"/>
      <c r="Q221" s="2" t="s">
        <v>18</v>
      </c>
      <c r="R221" s="2"/>
      <c r="S221" s="2"/>
      <c r="T221" s="2"/>
      <c r="U221" s="2"/>
      <c r="V221" s="2"/>
      <c r="W221" s="3" t="str">
        <f>CONCATENATE("var js",Table1[[#This Row],[IDs]]," = document.getElementbyId('",Table1[[#This Row],[IDs]],"').innerHTML; //  ",Table1[[#This Row],[Site]])</f>
        <v>var jsV00 = document.getElementbyId('V00').innerHTML; //  Visual Information Ordering Site</v>
      </c>
      <c r="X221" s="2" t="str">
        <f t="shared" si="13"/>
        <v xml:space="preserve">        &lt;!--Visual Information Ordering Site - https://vios.army.mil/ --&gt;&lt;div class='column catAll catProDev' style='margin-bottom: 0px;' id='V00'&gt;&lt;a href='https://vios.army.mil/' rel='noopener noreferrer' class='column hideMarquee'&gt;&lt;div class='armyCardContainer card'&gt;&lt;div class='armyCard'&gt;&lt;div&gt;&lt;p class='marquee'&gt;Visual Information Ordering Site is used to set up an appointment to have a DA Photo taken.&lt;/p&gt;&lt;img src='assets/CaCRequired.png' title='A CAC is required to use some or all features of this site!' Class='cacLocked'&gt;&lt;img src='assets/Card-129.png' class='cardImage' loading='lazy'&gt;&lt;/div&gt;&lt;div class='title'&gt;
          &lt;span&gt;Visual Information Ordering Site&lt;/span&gt;&lt;/div&gt;&lt;/div&gt;&lt;/div&gt;&lt;/a&gt;&lt;/div&gt;&lt;script&gt;var jsV00 = document.getElementById('V00').innerHTML;&lt;/script&gt;</v>
      </c>
      <c r="Y221"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Visual Information Ordering Site - https://vios.army.mil/ --&gt;
      &lt;summary&gt;• &lt;a href='https://vios.army.mil/' rel='noopener noreferrer'&gt;Visual Information Ordering Site - https://vios.army.mil/&lt;/a&gt;&lt;/summary&gt;
      &lt;p&gt;Visual Information Ordering Site is used to set up an appointment to have a DA Photo taken.&lt;/p&gt;
    &lt;/details&gt;</v>
      </c>
      <c r="Z221" s="2" t="str">
        <f t="shared" si="12"/>
        <v xml:space="preserve">          &lt;!-- Visual Information Ordering Site - https://vios.army.mil/ --&gt;&lt;div id='dragV00' class='catAll catProDev'&gt;&lt;div class='column hideMarquee' draggable='true' ondragstart='drag(event)' value='V00' id='V00'&gt;&lt;div class='armyCardContainer ssCard'&gt;&lt;div class='ssArmyCard'&gt;&lt;div&gt;&lt;p class='marquee'&gt;Visual Information Ordering Site is used to set up an appointment to have a DA Photo taken.&lt;/p&gt;&lt;img src='assets/Card-129.png' class='ssCardImage' draggable='false' loading='lazy'&gt;&lt;/div&gt;&lt;div class='ssTitle'&gt;&lt;span id='V00Title'&gt;Visual Information Ordering Site&lt;/span&gt;&lt;/div&gt;&lt;/div&gt;&lt;/div&gt;&lt;/div&gt;&lt;/div&gt;&lt;script&gt;var jsV00 = document.getElementById('dragV00').innerHTML;&lt;/script&gt;</v>
      </c>
      <c r="AA221" s="2" t="str">
        <f>CONCATENATE("var js",Table1[[#This Row],[IDs]]," = document.getElementbyId('drag",Table1[[#This Row],[IDs]],"').innerHTML; //  ",Table1[[#This Row],[Site]])</f>
        <v>var jsV00 = document.getElementbyId('dragV00').innerHTML; //  Visual Information Ordering Site</v>
      </c>
    </row>
    <row r="222" spans="1:27" ht="15" x14ac:dyDescent="0.25">
      <c r="A222" t="s">
        <v>355</v>
      </c>
      <c r="B222" t="s">
        <v>355</v>
      </c>
      <c r="C222" s="1" t="s">
        <v>356</v>
      </c>
      <c r="D222" t="s">
        <v>865</v>
      </c>
      <c r="E222" t="s">
        <v>864</v>
      </c>
      <c r="F222" s="2" t="s">
        <v>398</v>
      </c>
      <c r="G222" s="2" t="s">
        <v>900</v>
      </c>
      <c r="H222" s="2" t="s">
        <v>552</v>
      </c>
      <c r="I222" s="2"/>
      <c r="J222" s="2"/>
      <c r="K222" s="2"/>
      <c r="L222" s="2" t="s">
        <v>18</v>
      </c>
      <c r="M222" s="2"/>
      <c r="N222" s="2"/>
      <c r="O222" s="2"/>
      <c r="P222" s="2"/>
      <c r="Q222" s="2" t="s">
        <v>18</v>
      </c>
      <c r="R222" s="2"/>
      <c r="S222" s="2"/>
      <c r="T222" s="2"/>
      <c r="U222" s="2"/>
      <c r="V222" s="2"/>
      <c r="W222" s="3" t="str">
        <f>CONCATENATE("var js",Table1[[#This Row],[IDs]]," = document.getElementbyId('",Table1[[#This Row],[IDs]],"').innerHTML; //  ",Table1[[#This Row],[Site]])</f>
        <v>var jsV01 = document.getElementbyId('V01').innerHTML; //  Volunteer Management Information System (VMIS)</v>
      </c>
      <c r="X222" s="2" t="str">
        <f t="shared" si="13"/>
        <v xml:space="preserve">        &lt;!--Volunteer Management Information System (VMIS) - https://vmis.armyfamilywebportal.com/ --&gt;&lt;div class='column catAll catFamily catProDev' style='margin-bottom: 0px;' id='V01'&gt;&lt;a href='https://vmis.armyfamilywebportal.com/' rel='noopener noreferrer' class='column hideMarquee'&gt;&lt;div class='armyCardContainer card'&gt;&lt;div class='armyCard'&gt;&lt;div&gt;&lt;p class='marquee'&gt;The Volunteer Management Information System (VMIS) assists the Army Volunteer Corps and Organization Point of Contact (OPOC) in managing these dedicated volunteers and allows volunteers a way track their hours, awards, trainings and certificates. Volunteers can apply for volunteer opportunities, record and track volunteer hours, and manage their volunteer service record.&lt;/p&gt;&lt;img src='assets/CaCRequired.png' title='A CAC is required to use some or all features of this site!' Class='cacLocked'&gt;&lt;img src='assets/Card-085.jpg' class='cardImage' loading='lazy'&gt;&lt;/div&gt;&lt;div class='title'&gt;
          &lt;span&gt;Volunteer Management Information System (VMIS)&lt;/span&gt;&lt;/div&gt;&lt;/div&gt;&lt;/div&gt;&lt;/a&gt;&lt;/div&gt;&lt;script&gt;var jsV01 = document.getElementById('V01').innerHTML;&lt;/script&gt;</v>
      </c>
      <c r="Y222"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Volunteer Management Information System (VMIS) - https://vmis.armyfamilywebportal.com/ --&gt;
      &lt;summary&gt;• &lt;a href='https://vmis.armyfamilywebportal.com/' rel='noopener noreferrer'&gt;Volunteer Management Information System (VMIS) - https://vmis.armyfamilywebportal.com/&lt;/a&gt;&lt;/summary&gt;
      &lt;p&gt;The Volunteer Management Information System (VMIS) assists the Army Volunteer Corps and Organization Point of Contact (OPOC) in managing these dedicated volunteers and allows volunteers a way track their hours, awards, trainings and certificates. Volunteers can apply for volunteer opportunities, record and track volunteer hours, and manage their volunteer service record.&lt;/p&gt;
    &lt;/details&gt;</v>
      </c>
      <c r="Z222" s="2" t="str">
        <f t="shared" si="12"/>
        <v xml:space="preserve">          &lt;!-- Volunteer Management Information System (VMIS) - https://vmis.armyfamilywebportal.com/ --&gt;&lt;div id='dragV01' class='catAll catFamily catProDev'&gt;&lt;div class='column hideMarquee' draggable='true' ondragstart='drag(event)' value='V01' id='V01'&gt;&lt;div class='armyCardContainer ssCard'&gt;&lt;div class='ssArmyCard'&gt;&lt;div&gt;&lt;p class='marquee'&gt;The Volunteer Management Information System (VMIS) assists the Army Volunteer Corps and Organization Point of Contact (OPOC) in managing these dedicated volunteers and allows volunteers a way track their hours, awards, trainings and certificates. Volunteers can apply for volunteer opportunities, record and track volunteer hours, and manage their volunteer service record.&lt;/p&gt;&lt;img src='assets/Card-085.jpg' class='ssCardImage' draggable='false' loading='lazy'&gt;&lt;/div&gt;&lt;div class='ssTitle'&gt;&lt;span id='V01Title'&gt;Volunteer Management Information System (VMIS)&lt;/span&gt;&lt;/div&gt;&lt;/div&gt;&lt;/div&gt;&lt;/div&gt;&lt;/div&gt;&lt;script&gt;var jsV01 = document.getElementById('dragV01').innerHTML;&lt;/script&gt;</v>
      </c>
      <c r="AA222" s="2" t="str">
        <f>CONCATENATE("var js",Table1[[#This Row],[IDs]]," = document.getElementbyId('drag",Table1[[#This Row],[IDs]],"').innerHTML; //  ",Table1[[#This Row],[Site]])</f>
        <v>var jsV01 = document.getElementbyId('dragV01').innerHTML; //  Volunteer Management Information System (VMIS)</v>
      </c>
    </row>
    <row r="223" spans="1:27" ht="15" x14ac:dyDescent="0.25">
      <c r="A223" t="s">
        <v>441</v>
      </c>
      <c r="B223" t="s">
        <v>441</v>
      </c>
      <c r="C223" s="10" t="s">
        <v>893</v>
      </c>
      <c r="D223" t="s">
        <v>867</v>
      </c>
      <c r="E223" t="s">
        <v>866</v>
      </c>
      <c r="F223" s="2" t="s">
        <v>442</v>
      </c>
      <c r="G223" s="2" t="s">
        <v>900</v>
      </c>
      <c r="H223" s="2" t="s">
        <v>900</v>
      </c>
      <c r="I223" s="2"/>
      <c r="J223" s="2"/>
      <c r="K223" s="2"/>
      <c r="L223" s="2"/>
      <c r="M223" s="2"/>
      <c r="N223" s="2"/>
      <c r="O223" s="2" t="s">
        <v>18</v>
      </c>
      <c r="P223" s="2"/>
      <c r="Q223" s="2" t="s">
        <v>18</v>
      </c>
      <c r="R223" s="2"/>
      <c r="S223" s="2"/>
      <c r="T223" s="2" t="s">
        <v>18</v>
      </c>
      <c r="U223" s="2"/>
      <c r="V223" s="2"/>
      <c r="W223" s="3" t="str">
        <f>CONCATENATE("var js",Table1[[#This Row],[IDs]]," = document.getElementbyId('",Table1[[#This Row],[IDs]],"').innerHTML; //  ",Table1[[#This Row],[Site]])</f>
        <v>var jsY00 = document.getElementbyId('Y00').innerHTML; //  Yellow Ribbon Reintegration Program (YRRP)</v>
      </c>
      <c r="X223" s="2" t="str">
        <f t="shared" si="13"/>
        <v xml:space="preserve">        &lt;!--Yellow Ribbon Reintegration Program (YRRP) - https://yellowribbon.mil/ --&gt;&lt;div class='column catAll catHuman catProDev catCivEd' style='margin-bottom: 0px;' id='Y00'&gt;&lt;a href='https://yellowribbon.mil/' rel='noopener noreferrer' class='column hideMarquee'&gt;&lt;div class='armyCardContainer card'&gt;&lt;div class='armyCard'&gt;&lt;div&gt;&lt;p class='marquee'&gt;The Yellow Ribbon Reintegration Program (YRRP) is a Department of Defense-wide effort to promote the well-being of National Guard and Reserve members, their families and communities by connecting them with valuable resources.&lt;/p&gt;&lt;img src='assets/Card-134.png' class='cardImage' loading='lazy'&gt;&lt;/div&gt;&lt;div class='title'&gt;
          &lt;span&gt;Yellow Ribbon Reintegration Program (YRRP)&lt;/span&gt;&lt;/div&gt;&lt;/div&gt;&lt;/div&gt;&lt;/a&gt;&lt;/div&gt;&lt;script&gt;var jsY00 = document.getElementById('Y00').innerHTML;&lt;/script&gt;</v>
      </c>
      <c r="Y223"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Yellow Ribbon Reintegration Program (YRRP) - https://yellowribbon.mil/ --&gt;
      &lt;summary&gt;• &lt;a href='https://yellowribbon.mil/' rel='noopener noreferrer'&gt;Yellow Ribbon Reintegration Program (YRRP) - https://yellowribbon.mil/&lt;/a&gt;&lt;/summary&gt;
      &lt;p&gt;The Yellow Ribbon Reintegration Program (YRRP) is a Department of Defense-wide effort to promote the well-being of National Guard and Reserve members, their families and communities by connecting them with valuable resources.&lt;/p&gt;
    &lt;/details&gt;</v>
      </c>
      <c r="Z223" s="2" t="str">
        <f t="shared" si="12"/>
        <v xml:space="preserve">          &lt;!-- Yellow Ribbon Reintegration Program (YRRP) - https://yellowribbon.mil/ --&gt;&lt;div id='dragY00' class='catAll catHuman catProDev catCivEd'&gt;&lt;div class='column hideMarquee' draggable='true' ondragstart='drag(event)' value='Y00' id='Y00'&gt;&lt;div class='armyCardContainer ssCard'&gt;&lt;div class='ssArmyCard'&gt;&lt;div&gt;&lt;p class='marquee'&gt;The Yellow Ribbon Reintegration Program (YRRP) is a Department of Defense-wide effort to promote the well-being of National Guard and Reserve members, their families and communities by connecting them with valuable resources.&lt;/p&gt;&lt;img src='assets/Card-134.png' class='ssCardImage' draggable='false' loading='lazy'&gt;&lt;/div&gt;&lt;div class='ssTitle'&gt;&lt;span id='Y00Title'&gt;Yellow Ribbon Reintegration Program (YRRP)&lt;/span&gt;&lt;/div&gt;&lt;/div&gt;&lt;/div&gt;&lt;/div&gt;&lt;/div&gt;&lt;script&gt;var jsY00 = document.getElementById('dragY00').innerHTML;&lt;/script&gt;</v>
      </c>
      <c r="AA223" s="2" t="str">
        <f>CONCATENATE("var js",Table1[[#This Row],[IDs]]," = document.getElementbyId('drag",Table1[[#This Row],[IDs]],"').innerHTML; //  ",Table1[[#This Row],[Site]])</f>
        <v>var jsY00 = document.getElementbyId('dragY00').innerHTML; //  Yellow Ribbon Reintegration Program (YRRP)</v>
      </c>
    </row>
    <row r="224" spans="1:27" ht="15" hidden="1" x14ac:dyDescent="0.25">
      <c r="A224" s="16" t="s">
        <v>1071</v>
      </c>
      <c r="B224" s="16" t="s">
        <v>1071</v>
      </c>
      <c r="C224" s="16" t="s">
        <v>1065</v>
      </c>
      <c r="E224" s="1" t="s">
        <v>1072</v>
      </c>
      <c r="F224" s="2"/>
      <c r="G224" s="2"/>
      <c r="H224" s="2"/>
      <c r="I224" s="2"/>
      <c r="J224" s="2"/>
      <c r="K224" s="2"/>
      <c r="L224" s="2"/>
      <c r="M224" s="2"/>
      <c r="N224" s="2"/>
      <c r="O224" s="2"/>
      <c r="P224" s="2"/>
      <c r="Q224" s="2"/>
      <c r="R224" s="2"/>
      <c r="S224" s="2"/>
      <c r="T224" s="2"/>
      <c r="U224" s="2"/>
      <c r="V224" s="2"/>
      <c r="W224" s="3" t="str">
        <f>CONCATENATE("var js",Table1[[#This Row],[IDs]]," = document.getElementbyId('",Table1[[#This Row],[IDs]],"').innerHTML; //  ",Table1[[#This Row],[Site]])</f>
        <v>var js = document.getElementbyId('').innerHTML; //  Unit Training Assistance Program (UTAP)</v>
      </c>
      <c r="X224" s="2" t="str">
        <f>CONCATENATE("        &lt;!--",A224," - ",C224," --&gt;
        &lt;div class='column catAll",IF(I224="X"," catArmySites",""),IF(J224="X"," catCombatReadiness",""),IF(K224="X"," catDod",""),IF(L224="X"," catFamily",""),IF(M224="X"," catFinance",""),IF(N224="X"," catHealth",""),IF(O224="X"," catHuman",""),IF(P224="X"," catLegal",""),IF(Q224="X"," catProDev",""),IF(R224="X"," catTech",""),IF(S224="X"," catMilEd",""),IF(T224="X"," catCivEd",""),IF(U224="X"," catUsGov",""),"' style='margin-bottom: 0px;' id='",F224,"'&gt;
          &lt;a href='",C224,"' rel='noopener noreferrer' class='column hideMarquee'&gt;
            &lt;div class='armyCardContainer card'&gt;
              &lt;div class='armyCard'&gt;
                &lt;div&gt;
                  &lt;p class='marquee'&gt;",E224,"&lt;/p&gt;",
IF(H224="Yes","									&lt;img src='assets/CaCRequired.png'  title='A CAC is required to use some or all features of this site!' Class='cacLocked'&gt;
",""),IF(G224="Yes","									&lt;img src='assets/DODlock.png' title='This Site requires a DoD network connection to be used!' Class='dodLocked'&gt;
",""),"
                  &lt;img src='assets/",D224,"' class='cardImage' loading='lazy'&gt;
                &lt;/div&gt;
                &lt;div class='title'&gt;
                  &lt;span&gt;",A224,"&lt;/span&gt;
                &lt;/div&gt;
              &lt;/div&gt;
            &lt;/div&gt;
          &lt;/a&gt;
        &lt;/div&gt;")</f>
        <v xml:space="preserve">        &lt;!--Unit Training Assistance Program (UTAP) - https://utap.army.mil/ --&gt;
        &lt;div class='column catAll' style='margin-bottom: 0px;' id=''&gt;
          &lt;a href='https://utap.army.mil/' rel='noopener noreferrer' class='column hideMarquee'&gt;
            &lt;div class='armyCardContainer card'&gt;
              &lt;div class='armyCard'&gt;
                &lt;div&gt;
                  &lt;p class='marquee'&gt;UTAP is a web-based repository for New Equipment Training Material which provides:
    Access to the latest training materials for the latest Army equipment to include OPNET / FLMNET Instructor Guides, Student Guides, Classroom Handouts, Programs of Instruction (POIs) and Lesson Plans,
    Instructional/Troubleshooting Videos and Computer Based Training (CBT),
    Access to PS Magazine's Maintenance Article Links for each system,
    Any open Maintenance Information/Action Messages (MIM/MAMs),
    Direct links to Logistics Data Analysis Center (LDAC) for TM access,
    Application-Based Technical Manuals,
    Annual file revalidation and maintenance&lt;/p&gt;
                  &lt;img src='assets/' class='cardImage' loading='lazy'&gt;
                &lt;/div&gt;
                &lt;div class='title'&gt;
                  &lt;span&gt;Unit Training Assistance Program (UTAP)&lt;/span&gt;
                &lt;/div&gt;
              &lt;/div&gt;
            &lt;/div&gt;
          &lt;/a&gt;
        &lt;/div&gt;</v>
      </c>
      <c r="Y224"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Unit Training Assistance Program (UTAP) - https://utap.army.mil/ --&gt;
      &lt;summary&gt;• &lt;a href='https://utap.army.mil/' rel='noopener noreferrer'&gt;Unit Training Assistance Program (UTAP) - https://utap.army.mil/&lt;/a&gt;&lt;/summary&gt;
      &lt;p&gt;UTAP is a web-based repository for New Equipment Training Material which provides:
    Access to the latest training materials for the latest Army equipment to include OPNET / FLMNET Instructor Guides, Student Guides, Classroom Handouts, Programs of Instruction (POIs) and Lesson Plans,
    Instructional/Troubleshooting Videos and Computer Based Training (CBT),
    Access to PS Magazine's Maintenance Article Links for each system,
    Any open Maintenance Information/Action Messages (MIM/MAMs),
    Direct links to Logistics Data Analysis Center (LDAC) for TM access,
    Application-Based Technical Manuals,
    Annual file revalidation and maintenance&lt;/p&gt;
    &lt;/details&gt;</v>
      </c>
      <c r="Z224" s="2" t="str">
        <f t="shared" si="12"/>
        <v xml:space="preserve">          &lt;!-- Unit Training Assistance Program (UTAP) - https://utap.army.mil/ --&gt;&lt;div id='drag' class='catAll'&gt;&lt;div class='column hideMarquee' draggable='true' ondragstart='drag(event)' value='' id=''&gt;&lt;div class='armyCardContainer ssCard'&gt;&lt;div class='ssArmyCard'&gt;&lt;div&gt;&lt;p class='marquee'&gt;UTAP is a web-based repository for New Equipment Training Material which provides:
    Access to the latest training materials for the latest Army equipment to include OPNET / FLMNET Instructor Guides, Student Guides, Classroom Handouts, Programs of Instruction (POIs) and Lesson Plans,
    Instructional/Troubleshooting Videos and Computer Based Training (CBT),
    Access to PS Magazine's Maintenance Article Links for each system,
    Any open Maintenance Information/Action Messages (MIM/MAMs),
    Direct links to Logistics Data Analysis Center (LDAC) for TM access,
    Application-Based Technical Manuals,
    Annual file revalidation and maintenance&lt;/p&gt;&lt;img src='assets/' class='ssCardImage' draggable='false' loading='lazy'&gt;&lt;/div&gt;&lt;div class='ssTitle'&gt;&lt;span id='Title'&gt;Unit Training Assistance Program (UTAP)&lt;/span&gt;&lt;/div&gt;&lt;/div&gt;&lt;/div&gt;&lt;/div&gt;&lt;/div&gt;&lt;script&gt;var js = document.getElementById('drag').innerHTML;&lt;/script&gt;</v>
      </c>
      <c r="AA224" s="2" t="str">
        <f>CONCATENATE("var js",Table1[[#This Row],[IDs]]," = document.getElementbyId('drag",Table1[[#This Row],[IDs]],"').innerHTML; //  ",Table1[[#This Row],[Site]])</f>
        <v>var js = document.getElementbyId('drag').innerHTML; //  Unit Training Assistance Program (UTAP)</v>
      </c>
    </row>
    <row r="225" spans="1:27" ht="15" hidden="1" x14ac:dyDescent="0.25">
      <c r="C225" s="1" t="s">
        <v>1066</v>
      </c>
      <c r="F225" s="2"/>
      <c r="G225" s="2"/>
      <c r="H225" s="2"/>
      <c r="I225" s="2"/>
      <c r="J225" s="2"/>
      <c r="K225" s="2"/>
      <c r="L225" s="2"/>
      <c r="M225" s="2"/>
      <c r="N225" s="2"/>
      <c r="O225" s="2"/>
      <c r="P225" s="2"/>
      <c r="Q225" s="2"/>
      <c r="R225" s="2"/>
      <c r="S225" s="2"/>
      <c r="T225" s="2"/>
      <c r="U225" s="2"/>
      <c r="V225" s="2"/>
      <c r="W225" s="3" t="str">
        <f>CONCATENATE("var js",Table1[[#This Row],[IDs]]," = document.getElementbyId('",Table1[[#This Row],[IDs]],"').innerHTML; //  ",Table1[[#This Row],[Site]])</f>
        <v xml:space="preserve">var js = document.getElementbyId('').innerHTML; //  </v>
      </c>
      <c r="X225" s="2" t="str">
        <f>CONCATENATE("        &lt;!--",A225," - ",C225," --&gt;
        &lt;div class='column catAll",IF(I225="X"," catArmySites",""),IF(J225="X"," catCombatReadiness",""),IF(K225="X"," catDod",""),IF(L225="X"," catFamily",""),IF(M225="X"," catFinance",""),IF(N225="X"," catHealth",""),IF(O225="X"," catHuman",""),IF(P225="X"," catLegal",""),IF(Q225="X"," catProDev",""),IF(R225="X"," catTech",""),IF(S225="X"," catMilEd",""),IF(T225="X"," catCivEd",""),IF(U225="X"," catUsGov",""),"' style='margin-bottom: 0px;' id='",F225,"'&gt;
          &lt;a href='",C225,"' rel='noopener noreferrer' class='column hideMarquee'&gt;
            &lt;div class='armyCardContainer card'&gt;
              &lt;div class='armyCard'&gt;
                &lt;div&gt;
                  &lt;p class='marquee'&gt;",E225,"&lt;/p&gt;",
IF(H225="Yes","									&lt;img src='assets/CaCRequired.png'  title='A CAC is required to use some or all features of this site!' Class='cacLocked'&gt;
",""),IF(G225="Yes","									&lt;img src='assets/DODlock.png' title='This Site requires a DoD network connection to be used!' Class='dodLocked'&gt;
",""),"
                  &lt;img src='assets/",D225,"' class='cardImage' loading='lazy'&gt;
                &lt;/div&gt;
                &lt;div class='title'&gt;
                  &lt;span&gt;",A225,"&lt;/span&gt;
                &lt;/div&gt;
              &lt;/div&gt;
            &lt;/div&gt;
          &lt;/a&gt;
        &lt;/div&gt;")</f>
        <v xml:space="preserve">        &lt;!-- - https://www.igc.ustranscom.mil/igc/ --&gt;
        &lt;div class='column catAll' style='margin-bottom: 0px;' id=''&gt;
          &lt;a href='https://www.igc.ustranscom.mil/igc/' rel='noopener noreferrer' class='column hideMarquee'&gt;
            &lt;div class='armyCardContainer card'&gt;
              &lt;div class='armyCard'&gt;
                &lt;div&gt;
                  &lt;p class='marquee'&gt;&lt;/p&gt;
                  &lt;img src='assets/' class='cardImage' loading='lazy'&gt;
                &lt;/div&gt;
                &lt;div class='title'&gt;
                  &lt;span&gt;&lt;/span&gt;
                &lt;/div&gt;
              &lt;/div&gt;
            &lt;/div&gt;
          &lt;/a&gt;
        &lt;/div&gt;</v>
      </c>
      <c r="Y225"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 https://www.igc.ustranscom.mil/igc/ --&gt;
      &lt;summary&gt;• &lt;a href='https://www.igc.ustranscom.mil/igc/' rel='noopener noreferrer'&gt; - https://www.igc.ustranscom.mil/igc/&lt;/a&gt;&lt;/summary&gt;
      &lt;p&gt;&lt;/p&gt;
    &lt;/details&gt;</v>
      </c>
      <c r="Z225" s="2" t="str">
        <f t="shared" si="12"/>
        <v xml:space="preserve">          &lt;!--  - https://www.igc.ustranscom.mil/igc/ --&gt;&lt;div id='drag' class='catAll'&gt;&lt;div class='column hideMarquee' draggable='true' ondragstart='drag(event)' value='' id=''&gt;&lt;div class='armyCardContainer ssCard'&gt;&lt;div class='ssArmyCard'&gt;&lt;div&gt;&lt;p class='marquee'&gt;&lt;/p&gt;&lt;img src='assets/' class='ssCardImage' draggable='false' loading='lazy'&gt;&lt;/div&gt;&lt;div class='ssTitle'&gt;&lt;span id='Title'&gt;&lt;/span&gt;&lt;/div&gt;&lt;/div&gt;&lt;/div&gt;&lt;/div&gt;&lt;/div&gt;&lt;script&gt;var js = document.getElementById('drag').innerHTML;&lt;/script&gt;</v>
      </c>
      <c r="AA225" s="2" t="str">
        <f>CONCATENATE("var js",Table1[[#This Row],[IDs]]," = document.getElementbyId('drag",Table1[[#This Row],[IDs]],"').innerHTML; //  ",Table1[[#This Row],[Site]])</f>
        <v xml:space="preserve">var js = document.getElementbyId('drag').innerHTML; //  </v>
      </c>
    </row>
    <row r="226" spans="1:27" ht="15" hidden="1" x14ac:dyDescent="0.25">
      <c r="A226" s="1" t="s">
        <v>1075</v>
      </c>
      <c r="C226" s="2" t="s">
        <v>1074</v>
      </c>
      <c r="F226" s="2"/>
      <c r="G226" s="2"/>
      <c r="H226" s="2"/>
      <c r="I226" s="2"/>
      <c r="J226" s="2"/>
      <c r="K226" s="2"/>
      <c r="L226" s="2"/>
      <c r="M226" s="2"/>
      <c r="N226" s="2"/>
      <c r="O226" s="2"/>
      <c r="P226" s="2"/>
      <c r="Q226" s="2"/>
      <c r="R226" s="2"/>
      <c r="S226" s="2"/>
      <c r="T226" s="2"/>
      <c r="U226" s="2"/>
      <c r="V226" s="2"/>
      <c r="W226" s="3" t="str">
        <f>CONCATENATE("var js",Table1[[#This Row],[IDs]]," = document.getElementbyId('",Table1[[#This Row],[IDs]],"').innerHTML; //  ",Table1[[#This Row],[Site]])</f>
        <v>var js = document.getElementbyId('').innerHTML; //  My Personnal Action Request (IPPS-A)</v>
      </c>
      <c r="X226" s="2" t="str">
        <f>CONCATENATE("        &lt;!--",A226," - ",C226," --&gt;
        &lt;div class='column catAll",IF(I226="X"," catArmySites",""),IF(J226="X"," catCombatReadiness",""),IF(K226="X"," catDod",""),IF(L226="X"," catFamily",""),IF(M226="X"," catFinance",""),IF(N226="X"," catHealth",""),IF(O226="X"," catHuman",""),IF(P226="X"," catLegal",""),IF(Q226="X"," catProDev",""),IF(R226="X"," catTech",""),IF(S226="X"," catMilEd",""),IF(T226="X"," catCivEd",""),IF(U226="X"," catUsGov",""),"' style='margin-bottom: 0px;' id='",F226,"'&gt;
          &lt;a href='",C226,"' rel='noopener noreferrer' class='column hideMarquee'&gt;
            &lt;div class='armyCardContainer card'&gt;
              &lt;div class='armyCard'&gt;
                &lt;div&gt;
                  &lt;p class='marquee'&gt;",E226,"&lt;/p&gt;",
IF(H226="Yes","									&lt;img src='assets/CaCRequired.png'  title='A CAC is required to use some or all features of this site!' Class='cacLocked'&gt;
",""),IF(G226="Yes","									&lt;img src='assets/DODlock.png' title='This Site requires a DoD network connection to be used!' Class='dodLocked'&gt;
",""),"
                  &lt;img src='assets/",D226,"' class='cardImage' loading='lazy'&gt;
                &lt;/div&gt;
                &lt;div class='title'&gt;
                  &lt;span&gt;",A226,"&lt;/span&gt;
                &lt;/div&gt;
              &lt;/div&gt;
            &lt;/div&gt;
          &lt;/a&gt;
        &lt;/div&gt;")</f>
        <v xml:space="preserve">        &lt;!--My Personnal Action Request (IPPS-A) - https://hr.ippsa.army.mil/psc/hcpdc_newwin/EMPLOYEE/HRMS/c/IP_SOLDIER_DASHBOARD.IP_PF_PAR_ESS_FL.GBL --&gt;
        &lt;div class='column catAll' style='margin-bottom: 0px;' id=''&gt;
          &lt;a href='https://hr.ippsa.army.mil/psc/hcpdc_newwin/EMPLOYEE/HRMS/c/IP_SOLDIER_DASHBOARD.IP_PF_PAR_ESS_FL.GBL' rel='noopener noreferrer' class='column hideMarquee'&gt;
            &lt;div class='armyCardContainer card'&gt;
              &lt;div class='armyCard'&gt;
                &lt;div&gt;
                  &lt;p class='marquee'&gt;&lt;/p&gt;
                  &lt;img src='assets/' class='cardImage' loading='lazy'&gt;
                &lt;/div&gt;
                &lt;div class='title'&gt;
                  &lt;span&gt;My Personnal Action Request (IPPS-A)&lt;/span&gt;
                &lt;/div&gt;
              &lt;/div&gt;
            &lt;/div&gt;
          &lt;/a&gt;
        &lt;/div&gt;</v>
      </c>
      <c r="Y226"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Personnal Action Request (IPPS-A) - https://hr.ippsa.army.mil/psc/hcpdc_newwin/EMPLOYEE/HRMS/c/IP_SOLDIER_DASHBOARD.IP_PF_PAR_ESS_FL.GBL --&gt;
      &lt;summary&gt;• &lt;a href='https://hr.ippsa.army.mil/psc/hcpdc_newwin/EMPLOYEE/HRMS/c/IP_SOLDIER_DASHBOARD.IP_PF_PAR_ESS_FL.GBL' rel='noopener noreferrer'&gt;My Personnal Action Request (IPPS-A) - https://hr.ippsa.army.mil/psc/hcpdc_newwin/EMPLOYEE/HRMS/c/IP_SOLDIER_DASHBOARD.IP_PF_PAR_ESS_FL.GBL&lt;/a&gt;&lt;/summary&gt;
      &lt;p&gt;&lt;/p&gt;
    &lt;/details&gt;</v>
      </c>
      <c r="Z226" s="2" t="str">
        <f>CONCATENATE("          &lt;!-- ",B226," - ",C226," --&gt;&lt;div id='drag",F226,"' class='catAll",IF(I226="X"," catArmySites",""),IF(J226="X"," catCombatReadiness",""),IF(K226="X"," catDod",""),IF(L226="X"," catFamily",""),IF(M226="X"," catFinance",""),IF(N226="X"," catHealth",""),IF(O226="X"," catHuman",""),IF(P226="X"," catLegal",""),IF(Q226="X"," catProDev",""),IF(R226="X"," catTech",""),IF(S226="X"," catMilEd",""),IF(T226="X"," catCivEd",""),IF(U226="X"," catUsGov",""),"'&gt;&lt;div class='column hideMarquee' draggable='true' ondragstart='drag(event)' value='",F226,"' id='",F226,"'&gt;&lt;div class='armyCardContainer ssCard'&gt;&lt;div class='ssArmyCard'&gt;&lt;div&gt;&lt;p class='marquee'&gt;",E226,"&lt;/p&gt;&lt;img src='assets/",D226,"' class='ssCardImage' draggable='false' loading='lazy'&gt;&lt;/div&gt;&lt;div class='ssTitle'&gt;&lt;span id='",F226,"Title'&gt;",A226,"&lt;/span&gt;&lt;/div&gt;&lt;/div&gt;&lt;/div&gt;&lt;/div&gt;&lt;/div&gt;&lt;script&gt;var js",F226," = document.getElementById('drag",F226,"').innerHTML;&lt;/script&gt;")</f>
        <v xml:space="preserve">          &lt;!--  - https://hr.ippsa.army.mil/psc/hcpdc_newwin/EMPLOYEE/HRMS/c/IP_SOLDIER_DASHBOARD.IP_PF_PAR_ESS_FL.GBL --&gt;&lt;div id='drag' class='catAll'&gt;&lt;div class='column hideMarquee' draggable='true' ondragstart='drag(event)' value='' id=''&gt;&lt;div class='armyCardContainer ssCard'&gt;&lt;div class='ssArmyCard'&gt;&lt;div&gt;&lt;p class='marquee'&gt;&lt;/p&gt;&lt;img src='assets/' class='ssCardImage' draggable='false' loading='lazy'&gt;&lt;/div&gt;&lt;div class='ssTitle'&gt;&lt;span id='Title'&gt;My Personnal Action Request (IPPS-A)&lt;/span&gt;&lt;/div&gt;&lt;/div&gt;&lt;/div&gt;&lt;/div&gt;&lt;/div&gt;&lt;script&gt;var js = document.getElementById('drag').innerHTML;&lt;/script&gt;</v>
      </c>
      <c r="AA226" s="2" t="str">
        <f>CONCATENATE("var js",Table1[[#This Row],[IDs]]," = document.getElementbyId('drag",Table1[[#This Row],[IDs]],"').innerHTML; //  ",Table1[[#This Row],[Site]])</f>
        <v>var js = document.getElementbyId('drag').innerHTML; //  My Personnal Action Request (IPPS-A)</v>
      </c>
    </row>
    <row r="227" spans="1:27" ht="15" hidden="1" x14ac:dyDescent="0.25">
      <c r="A227" s="1" t="s">
        <v>1076</v>
      </c>
      <c r="C227" s="2" t="s">
        <v>1077</v>
      </c>
      <c r="F227" s="2"/>
      <c r="G227" s="2"/>
      <c r="H227" s="2"/>
      <c r="I227" s="2"/>
      <c r="J227" s="2"/>
      <c r="K227" s="2"/>
      <c r="L227" s="2"/>
      <c r="M227" s="2"/>
      <c r="N227" s="2"/>
      <c r="O227" s="2"/>
      <c r="P227" s="2"/>
      <c r="Q227" s="2"/>
      <c r="R227" s="2"/>
      <c r="S227" s="2"/>
      <c r="T227" s="2"/>
      <c r="U227" s="2"/>
      <c r="V227" s="2"/>
      <c r="W227" s="3" t="str">
        <f>CONCATENATE("var js",Table1[[#This Row],[IDs]]," = document.getElementbyId('",Table1[[#This Row],[IDs]],"').innerHTML; //  ",Table1[[#This Row],[Site]])</f>
        <v>var js = document.getElementbyId('').innerHTML; //  My Orders (IPPS-A)</v>
      </c>
      <c r="X227" s="2" t="str">
        <f>CONCATENATE("        &lt;!--",A227," - ",C227," --&gt;
        &lt;div class='column catAll",IF(I227="X"," catArmySites",""),IF(J227="X"," catCombatReadiness",""),IF(K227="X"," catDod",""),IF(L227="X"," catFamily",""),IF(M227="X"," catFinance",""),IF(N227="X"," catHealth",""),IF(O227="X"," catHuman",""),IF(P227="X"," catLegal",""),IF(Q227="X"," catProDev",""),IF(R227="X"," catTech",""),IF(S227="X"," catMilEd",""),IF(T227="X"," catCivEd",""),IF(U227="X"," catUsGov",""),"' style='margin-bottom: 0px;' id='",F227,"'&gt;
          &lt;a href='",C227,"' rel='noopener noreferrer' class='column hideMarquee'&gt;
            &lt;div class='armyCardContainer card'&gt;
              &lt;div class='armyCard'&gt;
                &lt;div&gt;
                  &lt;p class='marquee'&gt;",E227,"&lt;/p&gt;",
IF(H227="Yes","									&lt;img src='assets/CaCRequired.png'  title='A CAC is required to use some or all features of this site!' Class='cacLocked'&gt;
",""),IF(G227="Yes","									&lt;img src='assets/DODlock.png' title='This Site requires a DoD network connection to be used!' Class='dodLocked'&gt;
",""),"
                  &lt;img src='assets/",D227,"' class='cardImage' loading='lazy'&gt;
                &lt;/div&gt;
                &lt;div class='title'&gt;
                  &lt;span&gt;",A227,"&lt;/span&gt;
                &lt;/div&gt;
              &lt;/div&gt;
            &lt;/div&gt;
          &lt;/a&gt;
        &lt;/div&gt;")</f>
        <v xml:space="preserve">        &lt;!--My Orders (IPPS-A) - https://hr.ippsa.army.mil/psc/hcpdc_newwin/EMPLOYEE/HRMS/c/IP_ORDERS_MENU.IP_ORDERS_SS.GBL --&gt;
        &lt;div class='column catAll' style='margin-bottom: 0px;' id=''&gt;
          &lt;a href='https://hr.ippsa.army.mil/psc/hcpdc_newwin/EMPLOYEE/HRMS/c/IP_ORDERS_MENU.IP_ORDERS_SS.GBL' rel='noopener noreferrer' class='column hideMarquee'&gt;
            &lt;div class='armyCardContainer card'&gt;
              &lt;div class='armyCard'&gt;
                &lt;div&gt;
                  &lt;p class='marquee'&gt;&lt;/p&gt;
                  &lt;img src='assets/' class='cardImage' loading='lazy'&gt;
                &lt;/div&gt;
                &lt;div class='title'&gt;
                  &lt;span&gt;My Orders (IPPS-A)&lt;/span&gt;
                &lt;/div&gt;
              &lt;/div&gt;
            &lt;/div&gt;
          &lt;/a&gt;
        &lt;/div&gt;</v>
      </c>
      <c r="Y227"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Orders (IPPS-A) - https://hr.ippsa.army.mil/psc/hcpdc_newwin/EMPLOYEE/HRMS/c/IP_ORDERS_MENU.IP_ORDERS_SS.GBL --&gt;
      &lt;summary&gt;• &lt;a href='https://hr.ippsa.army.mil/psc/hcpdc_newwin/EMPLOYEE/HRMS/c/IP_ORDERS_MENU.IP_ORDERS_SS.GBL' rel='noopener noreferrer'&gt;My Orders (IPPS-A) - https://hr.ippsa.army.mil/psc/hcpdc_newwin/EMPLOYEE/HRMS/c/IP_ORDERS_MENU.IP_ORDERS_SS.GBL&lt;/a&gt;&lt;/summary&gt;
      &lt;p&gt;&lt;/p&gt;
    &lt;/details&gt;</v>
      </c>
      <c r="Z227" s="2" t="str">
        <f>CONCATENATE("          &lt;!-- ",B227," - ",C227," --&gt;&lt;div id='drag",F227,"' class='catAll",IF(I227="X"," catArmySites",""),IF(J227="X"," catCombatReadiness",""),IF(K227="X"," catDod",""),IF(L227="X"," catFamily",""),IF(M227="X"," catFinance",""),IF(N227="X"," catHealth",""),IF(O227="X"," catHuman",""),IF(P227="X"," catLegal",""),IF(Q227="X"," catProDev",""),IF(R227="X"," catTech",""),IF(S227="X"," catMilEd",""),IF(T227="X"," catCivEd",""),IF(U227="X"," catUsGov",""),"'&gt;&lt;div class='column hideMarquee' draggable='true' ondragstart='drag(event)' value='",F227,"' id='",F227,"'&gt;&lt;div class='armyCardContainer ssCard'&gt;&lt;div class='ssArmyCard'&gt;&lt;div&gt;&lt;p class='marquee'&gt;",E227,"&lt;/p&gt;&lt;img src='assets/",D227,"' class='ssCardImage' draggable='false' loading='lazy'&gt;&lt;/div&gt;&lt;div class='ssTitle'&gt;&lt;span id='",F227,"Title'&gt;",A227,"&lt;/span&gt;&lt;/div&gt;&lt;/div&gt;&lt;/div&gt;&lt;/div&gt;&lt;/div&gt;&lt;script&gt;var js",F227," = document.getElementById('drag",F227,"').innerHTML;&lt;/script&gt;")</f>
        <v xml:space="preserve">          &lt;!--  - https://hr.ippsa.army.mil/psc/hcpdc_newwin/EMPLOYEE/HRMS/c/IP_ORDERS_MENU.IP_ORDERS_SS.GBL --&gt;&lt;div id='drag' class='catAll'&gt;&lt;div class='column hideMarquee' draggable='true' ondragstart='drag(event)' value='' id=''&gt;&lt;div class='armyCardContainer ssCard'&gt;&lt;div class='ssArmyCard'&gt;&lt;div&gt;&lt;p class='marquee'&gt;&lt;/p&gt;&lt;img src='assets/' class='ssCardImage' draggable='false' loading='lazy'&gt;&lt;/div&gt;&lt;div class='ssTitle'&gt;&lt;span id='Title'&gt;My Orders (IPPS-A)&lt;/span&gt;&lt;/div&gt;&lt;/div&gt;&lt;/div&gt;&lt;/div&gt;&lt;/div&gt;&lt;script&gt;var js = document.getElementById('drag').innerHTML;&lt;/script&gt;</v>
      </c>
      <c r="AA227" s="2" t="str">
        <f>CONCATENATE("var js",Table1[[#This Row],[IDs]]," = document.getElementbyId('drag",Table1[[#This Row],[IDs]],"').innerHTML; //  ",Table1[[#This Row],[Site]])</f>
        <v>var js = document.getElementbyId('drag').innerHTML; //  My Orders (IPPS-A)</v>
      </c>
    </row>
    <row r="228" spans="1:27" ht="15" hidden="1" x14ac:dyDescent="0.25">
      <c r="A228" s="1" t="s">
        <v>1029</v>
      </c>
      <c r="C228" s="2"/>
      <c r="F228" s="2"/>
      <c r="G228" s="2"/>
      <c r="H228" s="2"/>
      <c r="I228" s="2"/>
      <c r="J228" s="2"/>
      <c r="K228" s="2"/>
      <c r="L228" s="2"/>
      <c r="M228" s="2"/>
      <c r="N228" s="2"/>
      <c r="O228" s="2"/>
      <c r="P228" s="2"/>
      <c r="Q228" s="2"/>
      <c r="R228" s="2"/>
      <c r="S228" s="2"/>
      <c r="T228" s="2"/>
      <c r="U228" s="2"/>
      <c r="V228" s="2"/>
      <c r="W228" s="3" t="str">
        <f>CONCATENATE("var js",Table1[[#This Row],[IDs]]," = document.getElementbyId('",Table1[[#This Row],[IDs]],"').innerHTML; //  ",Table1[[#This Row],[Site]])</f>
        <v>var js = document.getElementbyId('').innerHTML; //  My Physical Profile (IPPS-A)</v>
      </c>
      <c r="X228" s="2" t="str">
        <f>CONCATENATE("        &lt;!--",A228," - ",C228," --&gt;
        &lt;div class='column catAll",IF(I228="X"," catArmySites",""),IF(J228="X"," catCombatReadiness",""),IF(K228="X"," catDod",""),IF(L228="X"," catFamily",""),IF(M228="X"," catFinance",""),IF(N228="X"," catHealth",""),IF(O228="X"," catHuman",""),IF(P228="X"," catLegal",""),IF(Q228="X"," catProDev",""),IF(R228="X"," catTech",""),IF(S228="X"," catMilEd",""),IF(T228="X"," catCivEd",""),IF(U228="X"," catUsGov",""),"' style='margin-bottom: 0px;' id='",F228,"'&gt;
          &lt;a href='",C228,"' rel='noopener noreferrer' class='column hideMarquee'&gt;
            &lt;div class='armyCardContainer card'&gt;
              &lt;div class='armyCard'&gt;
                &lt;div&gt;
                  &lt;p class='marquee'&gt;",E228,"&lt;/p&gt;",
IF(H228="Yes","									&lt;img src='assets/CaCRequired.png'  title='A CAC is required to use some or all features of this site!' Class='cacLocked'&gt;
",""),IF(G228="Yes","									&lt;img src='assets/DODlock.png' title='This Site requires a DoD network connection to be used!' Class='dodLocked'&gt;
",""),"
                  &lt;img src='assets/",D228,"' class='cardImage' loading='lazy'&gt;
                &lt;/div&gt;
                &lt;div class='title'&gt;
                  &lt;span&gt;",A228,"&lt;/span&gt;
                &lt;/div&gt;
              &lt;/div&gt;
            &lt;/div&gt;
          &lt;/a&gt;
        &lt;/div&gt;")</f>
        <v xml:space="preserve">        &lt;!--My Physical Profile (IPPS-A) -  --&gt;
        &lt;div class='column catAll' style='margin-bottom: 0px;' id=''&gt;
          &lt;a href='' rel='noopener noreferrer' class='column hideMarquee'&gt;
            &lt;div class='armyCardContainer card'&gt;
              &lt;div class='armyCard'&gt;
                &lt;div&gt;
                  &lt;p class='marquee'&gt;&lt;/p&gt;
                  &lt;img src='assets/' class='cardImage' loading='lazy'&gt;
                &lt;/div&gt;
                &lt;div class='title'&gt;
                  &lt;span&gt;My Physical Profile (IPPS-A)&lt;/span&gt;
                &lt;/div&gt;
              &lt;/div&gt;
            &lt;/div&gt;
          &lt;/a&gt;
        &lt;/div&gt;</v>
      </c>
      <c r="Y228" s="2" t="str">
        <f>CONCATENATE("    &lt;details class='noSpacing'&gt;&lt;!-- ",Table1[[#This Row],[Site]]," - ",Table1[[#This Row],[URL]]," --&gt;
      &lt;summary&gt;• &lt;a href='",Table1[[#This Row],[URL]],"' rel='noopener noreferrer'&gt;",Table1[[#This Row],[Site]]," - ",Table1[[#This Row],[URL]],"&lt;/a&gt;&lt;/summary&gt;
      &lt;p&gt;",Table1[[#This Row],[Description]],"&lt;/p&gt;
    &lt;/details&gt;")</f>
        <v xml:space="preserve">    &lt;details class='noSpacing'&gt;&lt;!-- My Physical Profile (IPPS-A) -  --&gt;
      &lt;summary&gt;• &lt;a href='' rel='noopener noreferrer'&gt;My Physical Profile (IPPS-A) - &lt;/a&gt;&lt;/summary&gt;
      &lt;p&gt;&lt;/p&gt;
    &lt;/details&gt;</v>
      </c>
      <c r="Z228" s="2" t="str">
        <f>CONCATENATE("          &lt;!-- ",B228," - ",C228," --&gt;&lt;div id='drag",F228,"' class='catAll",IF(I228="X"," catArmySites",""),IF(J228="X"," catCombatReadiness",""),IF(K228="X"," catDod",""),IF(L228="X"," catFamily",""),IF(M228="X"," catFinance",""),IF(N228="X"," catHealth",""),IF(O228="X"," catHuman",""),IF(P228="X"," catLegal",""),IF(Q228="X"," catProDev",""),IF(R228="X"," catTech",""),IF(S228="X"," catMilEd",""),IF(T228="X"," catCivEd",""),IF(U228="X"," catUsGov",""),"'&gt;&lt;div class='column hideMarquee' draggable='true' ondragstart='drag(event)' value='",F228,"' id='",F228,"'&gt;&lt;div class='armyCardContainer ssCard'&gt;&lt;div class='ssArmyCard'&gt;&lt;div&gt;&lt;p class='marquee'&gt;",E228,"&lt;/p&gt;&lt;img src='assets/",D228,"' class='ssCardImage' draggable='false' loading='lazy'&gt;&lt;/div&gt;&lt;div class='ssTitle'&gt;&lt;span id='",F228,"Title'&gt;",A228,"&lt;/span&gt;&lt;/div&gt;&lt;/div&gt;&lt;/div&gt;&lt;/div&gt;&lt;/div&gt;&lt;script&gt;var js",F228," = document.getElementById('drag",F228,"').innerHTML;&lt;/script&gt;")</f>
        <v xml:space="preserve">          &lt;!--  -  --&gt;&lt;div id='drag' class='catAll'&gt;&lt;div class='column hideMarquee' draggable='true' ondragstart='drag(event)' value='' id=''&gt;&lt;div class='armyCardContainer ssCard'&gt;&lt;div class='ssArmyCard'&gt;&lt;div&gt;&lt;p class='marquee'&gt;&lt;/p&gt;&lt;img src='assets/' class='ssCardImage' draggable='false' loading='lazy'&gt;&lt;/div&gt;&lt;div class='ssTitle'&gt;&lt;span id='Title'&gt;My Physical Profile (IPPS-A)&lt;/span&gt;&lt;/div&gt;&lt;/div&gt;&lt;/div&gt;&lt;/div&gt;&lt;/div&gt;&lt;script&gt;var js = document.getElementById('drag').innerHTML;&lt;/script&gt;</v>
      </c>
      <c r="AA228" s="2" t="str">
        <f>CONCATENATE("var js",Table1[[#This Row],[IDs]]," = document.getElementbyId('drag",Table1[[#This Row],[IDs]],"').innerHTML; //  ",Table1[[#This Row],[Site]])</f>
        <v>var js = document.getElementbyId('drag').innerHTML; //  My Physical Profile (IPPS-A)</v>
      </c>
    </row>
  </sheetData>
  <phoneticPr fontId="5" type="noConversion"/>
  <hyperlinks>
    <hyperlink ref="C5" r:id="rId1" xr:uid="{00000000-0004-0000-0000-000000000000}"/>
    <hyperlink ref="C9" r:id="rId2" xr:uid="{00000000-0004-0000-0000-000001000000}"/>
    <hyperlink ref="C26" r:id="rId3" xr:uid="{00000000-0004-0000-0000-000002000000}"/>
    <hyperlink ref="C33" r:id="rId4" xr:uid="{00000000-0004-0000-0000-000003000000}"/>
    <hyperlink ref="C59" r:id="rId5" xr:uid="{00000000-0004-0000-0000-000004000000}"/>
    <hyperlink ref="C37" r:id="rId6" xr:uid="{00000000-0004-0000-0000-000005000000}"/>
    <hyperlink ref="C42" r:id="rId7" xr:uid="{00000000-0004-0000-0000-000006000000}"/>
    <hyperlink ref="C43" r:id="rId8" xr:uid="{00000000-0004-0000-0000-000007000000}"/>
    <hyperlink ref="C44" r:id="rId9" xr:uid="{00000000-0004-0000-0000-000008000000}"/>
    <hyperlink ref="C45" r:id="rId10" xr:uid="{00000000-0004-0000-0000-000009000000}"/>
    <hyperlink ref="C54" r:id="rId11" xr:uid="{00000000-0004-0000-0000-00000A000000}"/>
    <hyperlink ref="C56" r:id="rId12" xr:uid="{00000000-0004-0000-0000-00000B000000}"/>
    <hyperlink ref="C58" r:id="rId13" xr:uid="{00000000-0004-0000-0000-00000C000000}"/>
    <hyperlink ref="C86" r:id="rId14" xr:uid="{00000000-0004-0000-0000-00000D000000}"/>
    <hyperlink ref="C87" r:id="rId15" xr:uid="{00000000-0004-0000-0000-00000E000000}"/>
    <hyperlink ref="C111" r:id="rId16" xr:uid="{00000000-0004-0000-0000-00000F000000}"/>
    <hyperlink ref="C128" r:id="rId17" xr:uid="{00000000-0004-0000-0000-000011000000}"/>
    <hyperlink ref="C142" r:id="rId18" xr:uid="{00000000-0004-0000-0000-000012000000}"/>
    <hyperlink ref="C145" r:id="rId19" xr:uid="{00000000-0004-0000-0000-000013000000}"/>
    <hyperlink ref="C147" r:id="rId20" xr:uid="{00000000-0004-0000-0000-000014000000}"/>
    <hyperlink ref="C152" r:id="rId21" xr:uid="{00000000-0004-0000-0000-000015000000}"/>
    <hyperlink ref="C156" r:id="rId22" xr:uid="{00000000-0004-0000-0000-000016000000}"/>
    <hyperlink ref="C171" r:id="rId23" xr:uid="{00000000-0004-0000-0000-000017000000}"/>
    <hyperlink ref="C175" r:id="rId24" xr:uid="{00000000-0004-0000-0000-000018000000}"/>
    <hyperlink ref="C178" r:id="rId25" xr:uid="{00000000-0004-0000-0000-000019000000}"/>
    <hyperlink ref="C182" r:id="rId26" xr:uid="{00000000-0004-0000-0000-00001A000000}"/>
    <hyperlink ref="C60" r:id="rId27" xr:uid="{1CC761F6-73CB-4186-993F-6742C05B44CF}"/>
    <hyperlink ref="C116" r:id="rId28" xr:uid="{51548BE4-8E69-42E1-98E6-52DD77A4AF9F}"/>
    <hyperlink ref="C78" r:id="rId29" xr:uid="{3ACE8D76-CDA0-47CB-B0CD-C64E6C8ECCEB}"/>
    <hyperlink ref="C161" r:id="rId30" xr:uid="{327253F5-6337-4A51-A46E-51F76BA2BBB5}"/>
    <hyperlink ref="C21" r:id="rId31" xr:uid="{6200D383-9BE4-4524-9F0C-76A2CDD0CE89}"/>
    <hyperlink ref="C27" r:id="rId32" xr:uid="{0EB5FEAD-632E-4A2E-9692-6BD4CF49C28B}"/>
    <hyperlink ref="C69" r:id="rId33" xr:uid="{B0AEB047-3176-44FC-BBAC-06CA04010F1D}"/>
    <hyperlink ref="C65" r:id="rId34" xr:uid="{A5C2C29D-3029-4BD4-A00C-D7BB7965C194}"/>
    <hyperlink ref="C75" r:id="rId35" xr:uid="{8BA7BC26-5398-48A5-8C05-7E18528A54E8}"/>
    <hyperlink ref="C77" r:id="rId36" xr:uid="{CD523835-1B60-41DB-AB1B-82435E1C715B}"/>
    <hyperlink ref="C83" r:id="rId37" xr:uid="{A5F1D7EC-4B3D-4CF8-8640-9492CE43B922}"/>
    <hyperlink ref="C30" r:id="rId38" xr:uid="{D0C1DB47-428E-4F91-AB22-B23010F979A4}"/>
    <hyperlink ref="C95" r:id="rId39" xr:uid="{1F92E026-F92B-4169-9818-AE02AB550954}"/>
    <hyperlink ref="C185" r:id="rId40" xr:uid="{7EF6850A-6F30-40EA-A692-2734F91CAF6C}"/>
    <hyperlink ref="C143" r:id="rId41" xr:uid="{F15480F2-B566-46D4-AB32-B68AAB105DDF}"/>
    <hyperlink ref="C159" r:id="rId42" xr:uid="{EA1D868D-455A-4949-9BAF-3F62698CC138}"/>
    <hyperlink ref="C221" r:id="rId43" xr:uid="{8A44AF21-099F-49CC-8194-FDF74E5BFC5E}"/>
    <hyperlink ref="C199" r:id="rId44" xr:uid="{E1989BAD-5F6A-4E23-91BD-227728C830D7}"/>
    <hyperlink ref="C218" r:id="rId45" xr:uid="{4AD740BA-CE83-48E0-BD9E-85DA3388C54C}"/>
    <hyperlink ref="C149" r:id="rId46" xr:uid="{3A9BB7D3-65F4-4902-934B-01BF84EDE02F}"/>
    <hyperlink ref="C96" r:id="rId47" display="http://www.cac.mil/" xr:uid="{02FD2DE9-D192-41C2-A6D1-F2EF925ABEC7}"/>
    <hyperlink ref="C188" r:id="rId48" display="http://www.tricareonline.com/" xr:uid="{FFB8E8EF-6E22-4A32-BA50-18179F2792EA}"/>
    <hyperlink ref="C167" r:id="rId49" xr:uid="{C495DC83-2DBA-4058-B179-DDAC7D19193A}"/>
    <hyperlink ref="C84" r:id="rId50" xr:uid="{8CB1A011-87B7-4734-8023-62FB999D6D58}"/>
    <hyperlink ref="C217" r:id="rId51" xr:uid="{851DEAFE-5651-44C5-B5B9-7ABE25801CA4}"/>
    <hyperlink ref="C17" r:id="rId52" xr:uid="{0D1217CD-43A9-4882-8786-CE6C722EC8B4}"/>
    <hyperlink ref="C11" r:id="rId53" xr:uid="{22EB90D5-EB84-4E63-837B-F8CAB28A9FCD}"/>
    <hyperlink ref="C19" r:id="rId54" xr:uid="{9F0A16DF-ED5B-4C70-AC77-8C923F5AC0DA}"/>
    <hyperlink ref="C12" r:id="rId55" xr:uid="{1D3EFC89-65F2-43CB-9B79-5FEEC6B6A0C5}"/>
    <hyperlink ref="C127" r:id="rId56" xr:uid="{238F6BF4-93A4-4480-B7ED-3AA9F781EA9F}"/>
    <hyperlink ref="C206" r:id="rId57" xr:uid="{EE4988FE-1303-4B43-B649-3E68B23A08B1}"/>
    <hyperlink ref="C214" r:id="rId58" xr:uid="{B371999C-0047-4751-B9D1-BA5C7C2036CE}"/>
    <hyperlink ref="C213" r:id="rId59" xr:uid="{E42B4A27-DDE0-45D7-9E4E-6F70665AF5AD}"/>
    <hyperlink ref="C195" r:id="rId60" xr:uid="{A899D1BB-336B-485E-99B2-7A8D67D2384A}"/>
    <hyperlink ref="C183" r:id="rId61" xr:uid="{6190C0E0-14C3-4BBD-8539-64402E99BBCD}"/>
    <hyperlink ref="C151" r:id="rId62" location="/etm/home" xr:uid="{C5A07C01-6569-4D36-B84F-381F83B73B7A}"/>
    <hyperlink ref="C140" r:id="rId63" xr:uid="{94485C54-5445-41EB-AD4A-2261FC4DB8C7}"/>
    <hyperlink ref="C25" r:id="rId64" xr:uid="{58255ED2-6F98-486C-BB3F-066D308739BB}"/>
    <hyperlink ref="C4" r:id="rId65" xr:uid="{0A98356E-5FEE-4A48-B147-823BB519ACE0}"/>
    <hyperlink ref="C49" r:id="rId66" xr:uid="{08965CD7-014A-4127-9E4F-8B00592B0145}"/>
    <hyperlink ref="C92" r:id="rId67" xr:uid="{2647306B-9B06-47D2-B688-93C7CD30CA19}"/>
    <hyperlink ref="C106" r:id="rId68" xr:uid="{143FADB8-69CD-4D6B-B6A4-5C0026F53D3D}"/>
    <hyperlink ref="C15" r:id="rId69" xr:uid="{8FEF099D-C144-4F66-8B96-9D7A83DD3480}"/>
    <hyperlink ref="C16" r:id="rId70" xr:uid="{E379D55C-CB8B-40F7-84D7-C8D97C6EB38A}"/>
    <hyperlink ref="C141" r:id="rId71" xr:uid="{7EFFD4C1-7E2A-4FAD-81CB-EAB56763E3EF}"/>
    <hyperlink ref="C157" r:id="rId72" xr:uid="{41716295-35FD-4E26-8083-0889FC41E5F2}"/>
    <hyperlink ref="C158" r:id="rId73" xr:uid="{87356E04-8620-4BCB-A7C6-0BD644B1D995}"/>
    <hyperlink ref="C215" r:id="rId74" xr:uid="{F0705B34-D497-4AF4-9B80-728EE12024E0}"/>
    <hyperlink ref="C138" r:id="rId75" xr:uid="{F78EF28E-1209-4186-961F-21BDD7E19CBE}"/>
    <hyperlink ref="C2" r:id="rId76" xr:uid="{A59EA96B-914E-4552-9107-A0B8542A7ADC}"/>
    <hyperlink ref="C34" r:id="rId77" xr:uid="{4A4116F4-2E6E-4959-9B37-6F7B068C8091}"/>
    <hyperlink ref="C47" r:id="rId78" xr:uid="{24938E80-B758-49F6-B705-92120A3C6AD3}"/>
    <hyperlink ref="C48" r:id="rId79" xr:uid="{99EDDCF3-E652-403E-8B5D-64DBB9180A33}"/>
    <hyperlink ref="C57" r:id="rId80" xr:uid="{F985623A-A4BE-4E89-8AD5-A4D16C80778A}"/>
    <hyperlink ref="C63" r:id="rId81" xr:uid="{60ABC9E6-FC8B-4B33-AAA4-1E6E5FDC1D11}"/>
    <hyperlink ref="C70" r:id="rId82" xr:uid="{3E640FAC-B49D-43CD-8288-70B29357CDD7}"/>
    <hyperlink ref="C197" r:id="rId83" xr:uid="{7CC42CF3-BF9C-4AD9-A5D7-8DBDADFD8CA4}"/>
    <hyperlink ref="C179" r:id="rId84" xr:uid="{4735F4AF-2FD8-4612-8B94-1A5486B9F3FC}"/>
    <hyperlink ref="C177" r:id="rId85" xr:uid="{075CE1C1-0991-4858-91E4-88EDA0175849}"/>
    <hyperlink ref="C62" r:id="rId86" xr:uid="{A1A2E7E0-91AF-4B78-8E11-170DB61871DE}"/>
    <hyperlink ref="C173" r:id="rId87" xr:uid="{5849F88B-C5BA-4E9C-A592-30990C34A7DC}"/>
    <hyperlink ref="C155" r:id="rId88" xr:uid="{7C4939FC-696F-40AC-849D-B06A0903941A}"/>
    <hyperlink ref="C7" r:id="rId89" xr:uid="{3D0965B8-9BF7-4F2A-AB28-2275B3E993C8}"/>
    <hyperlink ref="C6" r:id="rId90" xr:uid="{2FF23ACD-6D3A-4FF8-8AC2-203EA7EFA2D9}"/>
    <hyperlink ref="C223" r:id="rId91" xr:uid="{1712F374-45E9-439B-AB6E-E713791D6841}"/>
    <hyperlink ref="C220" r:id="rId92" xr:uid="{3C2E8FAF-FE87-46FE-9A07-50D4C3B252ED}"/>
    <hyperlink ref="C207" r:id="rId93" xr:uid="{D275D38B-DAB0-4948-B4A6-0715C9A6FD5C}"/>
    <hyperlink ref="C204" r:id="rId94" xr:uid="{00D61222-7EF3-4803-96D1-A903100FA7E9}"/>
    <hyperlink ref="C187" r:id="rId95" xr:uid="{684F8518-4EF9-42B6-BA88-67CE9D6D905C}"/>
    <hyperlink ref="C125" r:id="rId96" xr:uid="{C85DEA25-A9C7-4EF0-A066-A30007E56442}"/>
    <hyperlink ref="C114" r:id="rId97" xr:uid="{41694491-AC37-44E0-A018-9F03F2EB3C94}"/>
    <hyperlink ref="C72" r:id="rId98" xr:uid="{767B20C9-C378-4D62-825D-22D6BCAEA51F}"/>
    <hyperlink ref="C105" r:id="rId99" xr:uid="{8D88FA0C-971C-43B5-BE62-E77F33DA98E6}"/>
    <hyperlink ref="C8" r:id="rId100" xr:uid="{93BD2DD9-2EB4-42B5-B8E3-EDB88EB7346C}"/>
    <hyperlink ref="C22" r:id="rId101" xr:uid="{AC679B91-205F-42FF-9F29-9AB7FDC951CC}"/>
    <hyperlink ref="C32" r:id="rId102" xr:uid="{1028BC52-935A-4AE1-9D60-2FC0CF191268}"/>
    <hyperlink ref="C39" r:id="rId103" xr:uid="{05CE2180-6AD1-48F1-8263-8862BCA0F745}"/>
    <hyperlink ref="C41" r:id="rId104" xr:uid="{69044F42-0233-4399-B3C2-5975B8B08D90}"/>
    <hyperlink ref="C46" r:id="rId105" xr:uid="{D4062840-AC60-46B7-84B3-B533D58A136C}"/>
    <hyperlink ref="C51" r:id="rId106" location="/" xr:uid="{6AAFE77E-FEEE-4FA3-8C30-E41BFB70FE5F}"/>
    <hyperlink ref="C53" r:id="rId107" xr:uid="{6DA8EAFD-FDEF-4770-87D6-F460B4AC0CB9}"/>
    <hyperlink ref="C55" r:id="rId108" xr:uid="{55558114-64F5-4224-9BB9-DA3559623ADF}"/>
    <hyperlink ref="C219" r:id="rId109" xr:uid="{14F2CF7D-456B-46F6-8DDB-793BA5386257}"/>
    <hyperlink ref="C216" r:id="rId110" xr:uid="{59B4906A-F5F2-494F-9F3E-9445BC7F2680}"/>
    <hyperlink ref="C211" r:id="rId111" xr:uid="{7388939B-27B3-4BED-B670-14599FE6765A}"/>
    <hyperlink ref="C209" r:id="rId112" xr:uid="{EB3D7D50-E78B-407B-9D7A-4E8AFB3378E1}"/>
    <hyperlink ref="C205" r:id="rId113" xr:uid="{3B20AF85-6FEF-43EA-88D7-AAECD52B38F9}"/>
    <hyperlink ref="C203" r:id="rId114" xr:uid="{A5A64067-E183-4861-9AD3-10CBED295ACA}"/>
    <hyperlink ref="C202" r:id="rId115" xr:uid="{AF013E93-5E52-42B9-AAC8-45C4A9FC4A04}"/>
    <hyperlink ref="C193" r:id="rId116" xr:uid="{B398F43C-08D0-40B1-9EB6-7ECEAB13B9F7}"/>
    <hyperlink ref="C190" r:id="rId117" xr:uid="{9341CFEE-6014-4BF3-84F8-8A429A31FD1C}"/>
    <hyperlink ref="C189" r:id="rId118" xr:uid="{5AA07C5C-C1BE-40C7-A4AB-554D8A65FBA0}"/>
    <hyperlink ref="C186" r:id="rId119" xr:uid="{21075D30-2C7E-46AE-A311-1BB9A894F355}"/>
    <hyperlink ref="C184" r:id="rId120" xr:uid="{32740D9E-7512-4277-A942-13C4627E62EE}"/>
    <hyperlink ref="C180" r:id="rId121" xr:uid="{F3EE86AF-61BA-4487-8889-F3F873F19214}"/>
    <hyperlink ref="C165" r:id="rId122" xr:uid="{CFD4FBD5-BDB6-48D2-BE29-DEF5C7C5D299}"/>
    <hyperlink ref="C67" r:id="rId123" xr:uid="{FCAEFECA-735E-4B89-9882-E71557D4CC12}"/>
    <hyperlink ref="C71" r:id="rId124" xr:uid="{63A86BD4-56BD-4ADE-8F96-D391A312A101}"/>
    <hyperlink ref="C94" r:id="rId125" xr:uid="{13D66B3B-E9B9-4F96-BA72-3A40FAD5977A}"/>
    <hyperlink ref="C93" r:id="rId126" xr:uid="{E6F95ADD-1E0E-480A-871F-FF963B49D9B2}"/>
    <hyperlink ref="C91" r:id="rId127" xr:uid="{807AAA1D-5BD7-4A3C-85D3-77187E3DE7E9}"/>
    <hyperlink ref="C89" r:id="rId128" xr:uid="{C9100AB0-8B96-4AF5-AAA2-183F9D3EB6B6}"/>
    <hyperlink ref="C82" r:id="rId129" xr:uid="{90193664-4A70-4ACD-B854-D1CA81B3A0D3}"/>
    <hyperlink ref="C81" r:id="rId130" xr:uid="{0C72F4B8-985D-4888-8A11-12CDDA671CE4}"/>
    <hyperlink ref="C79" r:id="rId131" xr:uid="{E0B2A3E1-9181-4361-B10B-FBA940CF40FE}"/>
    <hyperlink ref="C76" r:id="rId132" xr:uid="{AAC30502-2CD3-4D44-BA04-B72CAAACE7D6}"/>
    <hyperlink ref="C168" r:id="rId133" xr:uid="{0E13D597-83FA-4289-9E47-F545F831026C}"/>
    <hyperlink ref="C166" r:id="rId134" xr:uid="{98830D2D-EB03-4830-B069-7C7BFFCD318B}"/>
    <hyperlink ref="C160" r:id="rId135" xr:uid="{A4A7F629-C4D8-4ADE-8FBE-26E85CF76952}"/>
    <hyperlink ref="C153" r:id="rId136" xr:uid="{5758DF4D-C112-4633-A8B2-B140FE1B7A8B}"/>
    <hyperlink ref="C150" r:id="rId137" xr:uid="{ED6E6BF0-32CA-4DAA-BEF9-111B422E942A}"/>
    <hyperlink ref="C85" r:id="rId138" xr:uid="{D1676548-CECF-453B-BC00-686FECB047FF}"/>
    <hyperlink ref="C144" r:id="rId139" xr:uid="{FBC4527A-18D8-40D2-B1CE-4FB99AD61CCB}"/>
    <hyperlink ref="C137" r:id="rId140" xr:uid="{9EF93D5E-70FA-4E1D-9ABB-E4EF50D304BB}"/>
    <hyperlink ref="C136" r:id="rId141" xr:uid="{EBDD784D-07B7-439D-A539-C2C2FF525C78}"/>
    <hyperlink ref="C135" r:id="rId142" xr:uid="{EBFCA29B-60D9-43BC-BC6B-34A151F70C76}"/>
    <hyperlink ref="C134" r:id="rId143" xr:uid="{1D18DB46-5C37-494D-BAB8-3D2DB2018A43}"/>
    <hyperlink ref="C100" r:id="rId144" xr:uid="{7CC1748F-4993-4B90-820A-68BA7AF9847D}"/>
    <hyperlink ref="C104" r:id="rId145" xr:uid="{0B85E6A6-7ADF-49E3-AF2E-911726397DB2}"/>
    <hyperlink ref="C121" r:id="rId146" xr:uid="{9B1815E2-D085-4143-A04C-0FD1F70B1FAE}"/>
    <hyperlink ref="C120" r:id="rId147" xr:uid="{AB251BB3-087E-41D0-9A81-F7E973A38900}"/>
    <hyperlink ref="C119" r:id="rId148" xr:uid="{3233E526-6892-4437-8E51-5A22AE784A1C}"/>
    <hyperlink ref="C110" r:id="rId149" xr:uid="{C18AD218-56B1-48DD-BDFC-13B179EE7705}"/>
    <hyperlink ref="C109" r:id="rId150" xr:uid="{BC647D63-B628-40B7-BF4C-A138DD735109}"/>
    <hyperlink ref="C66" r:id="rId151" xr:uid="{2B23AA40-B942-4F8D-9098-9D02FB67617C}"/>
    <hyperlink ref="C132" r:id="rId152" xr:uid="{648C3E36-F57F-46E2-9426-E3A2DE9DCB7A}"/>
    <hyperlink ref="C88" r:id="rId153" xr:uid="{868F09A0-0C52-47BB-99C2-D0E3678A26FF}"/>
    <hyperlink ref="C90" r:id="rId154" xr:uid="{707F1A3E-FD46-4073-988F-BE442DD75BF5}"/>
    <hyperlink ref="C172" r:id="rId155" xr:uid="{70A51BF2-D4DA-4545-8A93-1CEB0643F027}"/>
    <hyperlink ref="C14" r:id="rId156" xr:uid="{87A0918C-B188-4A04-8F18-A9D080FCA2B9}"/>
    <hyperlink ref="C10" r:id="rId157" xr:uid="{69CEEE44-743E-4D44-81EE-98E8D57BD256}"/>
    <hyperlink ref="C64" r:id="rId158" xr:uid="{B45CE517-D6F0-4065-89EF-06A75012297E}"/>
    <hyperlink ref="C224" r:id="rId159" xr:uid="{10C9B046-EC73-410F-92BF-8EA6CD6049C2}"/>
    <hyperlink ref="C80" r:id="rId160" xr:uid="{E258064F-2CC3-432E-AAD6-B8A857978DC9}"/>
    <hyperlink ref="C123" r:id="rId161" xr:uid="{25F46706-D660-42EA-AE2B-BE73A7A8A202}"/>
    <hyperlink ref="C174" r:id="rId162" xr:uid="{E94B19DE-A3A5-4500-B6E2-840736944027}"/>
    <hyperlink ref="C18" r:id="rId163" xr:uid="{04C79261-D166-46BF-903C-AFE3746A9F4D}"/>
  </hyperlinks>
  <pageMargins left="0.7" right="0.7" top="0.75" bottom="0.75" header="0" footer="0"/>
  <pageSetup orientation="portrait" r:id="rId164"/>
  <tableParts count="1">
    <tablePart r:id="rId16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BADE5-6692-492B-BA82-00D744AEFE39}">
  <dimension ref="A1:S143"/>
  <sheetViews>
    <sheetView tabSelected="1" zoomScaleNormal="100" workbookViewId="0">
      <selection activeCell="P3" sqref="P3"/>
    </sheetView>
  </sheetViews>
  <sheetFormatPr defaultColWidth="34.75" defaultRowHeight="15" x14ac:dyDescent="0.25"/>
  <cols>
    <col min="1" max="1" width="29.75" style="17" customWidth="1"/>
    <col min="2" max="2" width="12.25" style="17" bestFit="1" customWidth="1"/>
    <col min="3" max="3" width="66" style="17" customWidth="1"/>
    <col min="4" max="4" width="6.125" style="17" customWidth="1"/>
    <col min="5" max="5" width="10.125" style="17" bestFit="1" customWidth="1"/>
    <col min="6" max="6" width="5.5" style="17" bestFit="1" customWidth="1"/>
    <col min="7" max="14" width="5.25" style="17" bestFit="1" customWidth="1"/>
    <col min="15" max="15" width="39.625" style="17" customWidth="1"/>
    <col min="16" max="16384" width="34.75" style="17"/>
  </cols>
  <sheetData>
    <row r="1" spans="1:19" s="21" customFormat="1" ht="175.5" x14ac:dyDescent="0.2">
      <c r="A1" s="21" t="s">
        <v>0</v>
      </c>
      <c r="B1" s="21" t="s">
        <v>1505</v>
      </c>
      <c r="C1" s="21" t="s">
        <v>1</v>
      </c>
      <c r="D1" s="21" t="s">
        <v>543</v>
      </c>
      <c r="E1" s="21" t="s">
        <v>544</v>
      </c>
      <c r="F1" s="21" t="s">
        <v>1504</v>
      </c>
      <c r="G1" s="21" t="s">
        <v>1503</v>
      </c>
      <c r="H1" s="21" t="s">
        <v>1502</v>
      </c>
      <c r="I1" s="21" t="s">
        <v>1501</v>
      </c>
      <c r="J1" s="21" t="s">
        <v>1500</v>
      </c>
      <c r="K1" s="21" t="s">
        <v>1499</v>
      </c>
      <c r="L1" s="21" t="s">
        <v>1498</v>
      </c>
      <c r="M1" s="21" t="s">
        <v>1497</v>
      </c>
      <c r="N1" s="21" t="s">
        <v>1496</v>
      </c>
      <c r="O1" s="22" t="s">
        <v>380</v>
      </c>
      <c r="P1" s="22" t="s">
        <v>540</v>
      </c>
      <c r="Q1" s="22" t="s">
        <v>541</v>
      </c>
      <c r="R1" s="22" t="s">
        <v>542</v>
      </c>
      <c r="S1" s="22" t="s">
        <v>911</v>
      </c>
    </row>
    <row r="2" spans="1:19" x14ac:dyDescent="0.25">
      <c r="A2" s="19" t="s">
        <v>1495</v>
      </c>
      <c r="B2" s="19"/>
      <c r="C2" s="18" t="s">
        <v>1494</v>
      </c>
      <c r="E2" s="17" t="s">
        <v>639</v>
      </c>
      <c r="F2" s="17" t="s">
        <v>1493</v>
      </c>
      <c r="I2" s="17" t="s">
        <v>480</v>
      </c>
      <c r="K2" s="17" t="s">
        <v>480</v>
      </c>
      <c r="O2" s="17" t="str">
        <f>CONCATENATE("var js",Table13[[#This Row],[ID]]," = document.getElementbyId('",Table13[[#This Row],[ID]],"').innerHTML; //  ",Table13[[#This Row],[Site]])</f>
        <v>var jsTA001 = document.getElementbyId('TA001').innerHTML; //  Apply for Veteran Readiness and Employment</v>
      </c>
      <c r="P2" s="17" t="e" cm="1" vm="1">
        <f t="array" aca="1" ref="P2" ca="1">E:E</f>
        <v>#VALUE!</v>
      </c>
      <c r="Q2" s="17" t="str">
        <f t="shared" ref="Q2:Q33" si="0">CONCATENATE("    &lt;details class='noSpacing'&gt;&lt;!-- ",A2," - ",C2," --&gt;
      &lt;summary&gt;• &lt;a href='",C2,"' rel='noopener noreferrer'&gt;",A2," - ",C2,"&lt;/a&gt;&lt;/summary&gt;
      &lt;p&gt;",D2,"&lt;/p&gt;
    &lt;/details&gt;")</f>
        <v xml:space="preserve">    &lt;details class='noSpacing'&gt;&lt;!-- Apply for Veteran Readiness and Employment - https://www.va.gov/careers-employment/vocational-rehabilitation/apply-vre-form-28-1900/start --&gt;
      &lt;summary&gt;• &lt;a href='https://www.va.gov/careers-employment/vocational-rehabilitation/apply-vre-form-28-1900/start' rel='noopener noreferrer'&gt;Apply for Veteran Readiness and Employment - https://www.va.gov/careers-employment/vocational-rehabilitation/apply-vre-form-28-1900/start&lt;/a&gt;&lt;/summary&gt;
      &lt;p&gt;&lt;/p&gt;
    &lt;/details&gt;</v>
      </c>
      <c r="R2" s="17" t="e">
        <f>CONCATENATE("          &lt;!-- ",#REF!," - ",#REF!," --&gt;&lt;div id='drag",#REF!,"' class='catAll",IF(#REF!="X"," catArmySites",""),IF(A2="X"," catCombatReadiness",""),IF(B2="X"," catDod",""),IF(C2="X"," catFamily",""),IF(#REF!="X"," catFinance",""),IF(D2="X"," catHealth",""),IF(F2="X"," catHuman",""),IF(G2="X"," catLegal",""),IF(H2="X"," catProDev",""),IF(I2="X"," catTech",""),IF(J2="X"," catMilEd",""),IF(K2="X"," catCivEd",""),IF(M2="X","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 s="17" t="e">
        <f>CONCATENATE("var js",#REF!," = document.getElementbyId('drag",#REF!,"').innerHTML; //  ",#REF!)</f>
        <v>#REF!</v>
      </c>
    </row>
    <row r="3" spans="1:19" x14ac:dyDescent="0.25">
      <c r="A3" s="19" t="s">
        <v>1492</v>
      </c>
      <c r="B3" s="19"/>
      <c r="C3" s="18" t="s">
        <v>1491</v>
      </c>
      <c r="E3" s="17" t="s">
        <v>639</v>
      </c>
      <c r="F3" s="17" t="s">
        <v>1490</v>
      </c>
      <c r="G3" s="17" t="s">
        <v>480</v>
      </c>
      <c r="I3" s="17" t="s">
        <v>480</v>
      </c>
      <c r="O3" s="17" t="str">
        <f>CONCATENATE("var js",Table13[[#This Row],[ID]]," = document.getElementbyId('",Table13[[#This Row],[ID]],"').innerHTML; //  ",Table13[[#This Row],[Site]])</f>
        <v>var jsTA002 = document.getElementbyId('TA002').innerHTML; //  Build Your Personal Health Plan</v>
      </c>
      <c r="P3" s="17">
        <f ca="1">CONCATENATE("        &lt;!--",A3," - ",C3," --&gt;&lt;div class='column catAll",IF(I3="X"," catArmySites",""),IF(J3="X"," catCombatReadiness",""),IF(K3="X"," catDod",""),IF(M3="X"," catFamily",""),IF(N3="X"," catFinance",""),IF(O3="X"," catHealth",""),IF(P3="X"," catHuman",""),IF(Q3="X"," catLegal",""),IF(R3="X"," catProDev",""),IF(S3="X"," catTech",""),IF(T3="X"," catMilEd",""),IF(U3="X"," catCivEd",""),IF(V3="X"," catUsGov",""),"' style='margin-bottom: 0px;' id='",F3,"'&gt;&lt;a href='",C3,"' rel='noopener noreferrer' class='column hideMarquee'&gt;&lt;div class='armyCardContainer card'&gt;&lt;div class='armyCard'&gt;&lt;div&gt;&lt;p class='marquee'&gt;",D3,"&lt;/p&gt;",IF(H3="Yes","&lt;img src='assets/CaCRequired.png' title='A CAC is required to use some or all features of this site!' Class='cacLocked'&gt;",""),IF(G3="Yes","&lt;img src='assets/DODlock.png' title='This Site requires a DoD network connection to be used!' Class='dodLocked'&gt;",""),"&lt;img src='assets/",#REF!,"' class='cardImage' loading='lazy'&gt;&lt;/div&gt;&lt;div class='title'&gt;&lt;span&gt;",A3,"&lt;/span&gt;&lt;/div&gt;&lt;/div&gt;&lt;/div&gt;&lt;/a&gt;&lt;/div&gt;&lt;script&gt;var js",F3," = document.getElementById('",F3,"').innerHTML;&lt;/script&gt;")</f>
        <v>0</v>
      </c>
      <c r="Q3" s="17" t="str">
        <f t="shared" si="0"/>
        <v xml:space="preserve">    &lt;details class='noSpacing'&gt;&lt;!-- Build Your Personal Health Plan - https://www.VA.gov/wholehealth/phi.asp --&gt;
      &lt;summary&gt;• &lt;a href='https://www.VA.gov/wholehealth/phi.asp' rel='noopener noreferrer'&gt;Build Your Personal Health Plan - https://www.VA.gov/wholehealth/phi.asp&lt;/a&gt;&lt;/summary&gt;
      &lt;p&gt;&lt;/p&gt;
    &lt;/details&gt;</v>
      </c>
      <c r="R3" s="17" t="e">
        <f>CONCATENATE("          &lt;!-- ",#REF!," - ",#REF!," --&gt;&lt;div id='drag",#REF!,"' class='catAll",IF(#REF!="X"," catArmySites",""),IF(A3="X"," catCombatReadiness",""),IF(B3="X"," catDod",""),IF(C3="X"," catFamily",""),IF(#REF!="X"," catFinance",""),IF(D3="X"," catHealth",""),IF(F3="X"," catHuman",""),IF(G3="X"," catLegal",""),IF(H3="X"," catProDev",""),IF(I3="X"," catTech",""),IF(J3="X"," catMilEd",""),IF(K3="X"," catCivEd",""),IF(M3="X","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 s="17" t="e">
        <f>CONCATENATE("var js",#REF!," = document.getElementbyId('drag",#REF!,"').innerHTML; //  ",#REF!)</f>
        <v>#REF!</v>
      </c>
    </row>
    <row r="4" spans="1:19" x14ac:dyDescent="0.25">
      <c r="A4" s="19" t="s">
        <v>1489</v>
      </c>
      <c r="B4" s="19"/>
      <c r="C4" s="18" t="s">
        <v>1488</v>
      </c>
      <c r="E4" s="17" t="s">
        <v>639</v>
      </c>
      <c r="F4" s="17" t="s">
        <v>1487</v>
      </c>
      <c r="H4" s="17" t="s">
        <v>18</v>
      </c>
      <c r="I4" s="17" t="s">
        <v>480</v>
      </c>
      <c r="O4" s="17" t="str">
        <f>CONCATENATE("var js",Table13[[#This Row],[ID]]," = document.getElementbyId('",Table13[[#This Row],[ID]],"').innerHTML; //  ",Table13[[#This Row],[Site]])</f>
        <v>var jsTA003 = document.getElementbyId('TA003').innerHTML; //  Buying a home with a VA-backed loan</v>
      </c>
      <c r="P4" s="17">
        <f ca="1">CONCATENATE("        &lt;!--",A4," - ",C4," --&gt;&lt;div class='column catAll",IF(I4="X"," catArmySites",""),IF(J4="X"," catCombatReadiness",""),IF(K4="X"," catDod",""),IF(M4="X"," catFamily",""),IF(N4="X"," catFinance",""),IF(O4="X"," catHealth",""),IF(P4="X"," catHuman",""),IF(Q4="X"," catLegal",""),IF(R4="X"," catProDev",""),IF(S4="X"," catTech",""),IF(T4="X"," catMilEd",""),IF(U4="X"," catCivEd",""),IF(V4="X"," catUsGov",""),"' style='margin-bottom: 0px;' id='",F4,"'&gt;&lt;a href='",C4,"' rel='noopener noreferrer' class='column hideMarquee'&gt;&lt;div class='armyCardContainer card'&gt;&lt;div class='armyCard'&gt;&lt;div&gt;&lt;p class='marquee'&gt;",D4,"&lt;/p&gt;",IF(H4="Yes","&lt;img src='assets/CaCRequired.png' title='A CAC is required to use some or all features of this site!' Class='cacLocked'&gt;",""),IF(G4="Yes","&lt;img src='assets/DODlock.png' title='This Site requires a DoD network connection to be used!' Class='dodLocked'&gt;",""),"&lt;img src='assets/",#REF!,"' class='cardImage' loading='lazy'&gt;&lt;/div&gt;&lt;div class='title'&gt;&lt;span&gt;",A4,"&lt;/span&gt;&lt;/div&gt;&lt;/div&gt;&lt;/div&gt;&lt;/a&gt;&lt;/div&gt;&lt;script&gt;var js",F4," = document.getElementById('",F4,"').innerHTML;&lt;/script&gt;")</f>
        <v>0</v>
      </c>
      <c r="Q4" s="17" t="str">
        <f t="shared" si="0"/>
        <v xml:space="preserve">    &lt;details class='noSpacing'&gt;&lt;!-- Buying a home with a VA-backed loan - https://www.va.gov/housing-assistance/home-loans/home-buying-process --&gt;
      &lt;summary&gt;• &lt;a href='https://www.va.gov/housing-assistance/home-loans/home-buying-process' rel='noopener noreferrer'&gt;Buying a home with a VA-backed loan - https://www.va.gov/housing-assistance/home-loans/home-buying-process&lt;/a&gt;&lt;/summary&gt;
      &lt;p&gt;&lt;/p&gt;
    &lt;/details&gt;</v>
      </c>
      <c r="R4" s="17" t="e">
        <f>CONCATENATE("          &lt;!-- ",#REF!," - ",#REF!," --&gt;&lt;div id='drag",#REF!,"' class='catAll",IF(#REF!="X"," catArmySites",""),IF(A4="X"," catCombatReadiness",""),IF(B4="X"," catDod",""),IF(C4="X"," catFamily",""),IF(#REF!="X"," catFinance",""),IF(D4="X"," catHealth",""),IF(F4="X"," catHuman",""),IF(G4="X"," catLegal",""),IF(H4="X"," catProDev",""),IF(I4="X"," catTech",""),IF(J4="X"," catMilEd",""),IF(K4="X"," catCivEd",""),IF(M4="X","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 s="17" t="e">
        <f>CONCATENATE("var js",#REF!," = document.getElementbyId('drag",#REF!,"').innerHTML; //  ",#REF!)</f>
        <v>#REF!</v>
      </c>
    </row>
    <row r="5" spans="1:19" x14ac:dyDescent="0.25">
      <c r="A5" s="19" t="s">
        <v>1486</v>
      </c>
      <c r="B5" s="19"/>
      <c r="C5" s="18" t="s">
        <v>1485</v>
      </c>
      <c r="E5" s="17" t="s">
        <v>639</v>
      </c>
      <c r="F5" s="17" t="s">
        <v>1484</v>
      </c>
      <c r="J5" s="17" t="s">
        <v>480</v>
      </c>
      <c r="O5" s="17" t="str">
        <f>CONCATENATE("var js",Table13[[#This Row],[ID]]," = document.getElementbyId('",Table13[[#This Row],[ID]],"').innerHTML; //  ",Table13[[#This Row],[Site]])</f>
        <v>var jsTA004 = document.getElementbyId('TA004').innerHTML; //  Caregiver Resources - Warrior Care Recovery Coordination Program</v>
      </c>
      <c r="P5" s="17">
        <f ca="1">CONCATENATE("        &lt;!--",A5," - ",C5," --&gt;&lt;div class='column catAll",IF(I5="X"," catArmySites",""),IF(J5="X"," catCombatReadiness",""),IF(K5="X"," catDod",""),IF(M5="X"," catFamily",""),IF(N5="X"," catFinance",""),IF(O5="X"," catHealth",""),IF(P5="X"," catHuman",""),IF(Q5="X"," catLegal",""),IF(R5="X"," catProDev",""),IF(S5="X"," catTech",""),IF(T5="X"," catMilEd",""),IF(U5="X"," catCivEd",""),IF(V5="X"," catUsGov",""),"' style='margin-bottom: 0px;' id='",F5,"'&gt;&lt;a href='",C5,"' rel='noopener noreferrer' class='column hideMarquee'&gt;&lt;div class='armyCardContainer card'&gt;&lt;div class='armyCard'&gt;&lt;div&gt;&lt;p class='marquee'&gt;",D5,"&lt;/p&gt;",IF(H5="Yes","&lt;img src='assets/CaCRequired.png' title='A CAC is required to use some or all features of this site!' Class='cacLocked'&gt;",""),IF(G5="Yes","&lt;img src='assets/DODlock.png' title='This Site requires a DoD network connection to be used!' Class='dodLocked'&gt;",""),"&lt;img src='assets/",#REF!,"' class='cardImage' loading='lazy'&gt;&lt;/div&gt;&lt;div class='title'&gt;&lt;span&gt;",A5,"&lt;/span&gt;&lt;/div&gt;&lt;/div&gt;&lt;/div&gt;&lt;/a&gt;&lt;/div&gt;&lt;script&gt;var js",F5," = document.getElementById('",F5,"').innerHTML;&lt;/script&gt;")</f>
        <v>0</v>
      </c>
      <c r="Q5" s="17" t="str">
        <f t="shared" si="0"/>
        <v xml:space="preserve">    &lt;details class='noSpacing'&gt;&lt;!-- Caregiver Resources - Warrior Care Recovery Coordination Program - https://warriorcare.dodlive.mil/caregiver-resources --&gt;
      &lt;summary&gt;• &lt;a href='https://warriorcare.dodlive.mil/caregiver-resources' rel='noopener noreferrer'&gt;Caregiver Resources - Warrior Care Recovery Coordination Program - https://warriorcare.dodlive.mil/caregiver-resources&lt;/a&gt;&lt;/summary&gt;
      &lt;p&gt;&lt;/p&gt;
    &lt;/details&gt;</v>
      </c>
      <c r="R5" s="17" t="e">
        <f>CONCATENATE("          &lt;!-- ",#REF!," - ",#REF!," --&gt;&lt;div id='drag",#REF!,"' class='catAll",IF(#REF!="X"," catArmySites",""),IF(A5="X"," catCombatReadiness",""),IF(B5="X"," catDod",""),IF(C5="X"," catFamily",""),IF(#REF!="X"," catFinance",""),IF(D5="X"," catHealth",""),IF(F5="X"," catHuman",""),IF(G5="X"," catLegal",""),IF(H5="X"," catProDev",""),IF(I5="X"," catTech",""),IF(J5="X"," catMilEd",""),IF(K5="X"," catCivEd",""),IF(M5="X","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 s="17" t="e">
        <f>CONCATENATE("var js",#REF!," = document.getElementbyId('drag",#REF!,"').innerHTML; //  ",#REF!)</f>
        <v>#REF!</v>
      </c>
    </row>
    <row r="6" spans="1:19" x14ac:dyDescent="0.25">
      <c r="A6" s="19" t="s">
        <v>1483</v>
      </c>
      <c r="B6" s="19"/>
      <c r="C6" s="18" t="s">
        <v>1482</v>
      </c>
      <c r="E6" s="17" t="s">
        <v>639</v>
      </c>
      <c r="F6" s="17" t="s">
        <v>1481</v>
      </c>
      <c r="G6" s="17" t="s">
        <v>480</v>
      </c>
      <c r="O6" s="17" t="str">
        <f>CONCATENATE("var js",Table13[[#This Row],[ID]]," = document.getElementbyId('",Table13[[#This Row],[ID]],"').innerHTML; //  ",Table13[[#This Row],[Site]])</f>
        <v>var jsTA005 = document.getElementbyId('TA005').innerHTML; //  Center for Faith-based and Neighborhood Partnerships (Partnership Center)</v>
      </c>
      <c r="P6" s="17">
        <f ca="1">CONCATENATE("        &lt;!--",A6," - ",C6," --&gt;&lt;div class='column catAll",IF(I6="X"," catArmySites",""),IF(J6="X"," catCombatReadiness",""),IF(K6="X"," catDod",""),IF(M6="X"," catFamily",""),IF(N6="X"," catFinance",""),IF(O6="X"," catHealth",""),IF(P6="X"," catHuman",""),IF(Q6="X"," catLegal",""),IF(R6="X"," catProDev",""),IF(S6="X"," catTech",""),IF(T6="X"," catMilEd",""),IF(U6="X"," catCivEd",""),IF(V6="X"," catUsGov",""),"' style='margin-bottom: 0px;' id='",F6,"'&gt;&lt;a href='",C6,"' rel='noopener noreferrer' class='column hideMarquee'&gt;&lt;div class='armyCardContainer card'&gt;&lt;div class='armyCard'&gt;&lt;div&gt;&lt;p class='marquee'&gt;",D6,"&lt;/p&gt;",IF(H6="Yes","&lt;img src='assets/CaCRequired.png' title='A CAC is required to use some or all features of this site!' Class='cacLocked'&gt;",""),IF(G6="Yes","&lt;img src='assets/DODlock.png' title='This Site requires a DoD network connection to be used!' Class='dodLocked'&gt;",""),"&lt;img src='assets/",#REF!,"' class='cardImage' loading='lazy'&gt;&lt;/div&gt;&lt;div class='title'&gt;&lt;span&gt;",A6,"&lt;/span&gt;&lt;/div&gt;&lt;/div&gt;&lt;/div&gt;&lt;/a&gt;&lt;/div&gt;&lt;script&gt;var js",F6," = document.getElementById('",F6,"').innerHTML;&lt;/script&gt;")</f>
        <v>0</v>
      </c>
      <c r="Q6" s="17" t="str">
        <f t="shared" si="0"/>
        <v xml:space="preserve">    &lt;details class='noSpacing'&gt;&lt;!-- Center for Faith-based and Neighborhood Partnerships (Partnership Center) - https://www.hhs.gov/about/agencies/iea/partnerships/index.html --&gt;
      &lt;summary&gt;• &lt;a href='https://www.hhs.gov/about/agencies/iea/partnerships/index.html' rel='noopener noreferrer'&gt;Center for Faith-based and Neighborhood Partnerships (Partnership Center) - https://www.hhs.gov/about/agencies/iea/partnerships/index.html&lt;/a&gt;&lt;/summary&gt;
      &lt;p&gt;&lt;/p&gt;
    &lt;/details&gt;</v>
      </c>
      <c r="R6" s="17" t="e">
        <f>CONCATENATE("          &lt;!-- ",#REF!," - ",#REF!," --&gt;&lt;div id='drag",#REF!,"' class='catAll",IF(#REF!="X"," catArmySites",""),IF(A6="X"," catCombatReadiness",""),IF(B6="X"," catDod",""),IF(C6="X"," catFamily",""),IF(#REF!="X"," catFinance",""),IF(D6="X"," catHealth",""),IF(F6="X"," catHuman",""),IF(G6="X"," catLegal",""),IF(H6="X"," catProDev",""),IF(I6="X"," catTech",""),IF(J6="X"," catMilEd",""),IF(K6="X"," catCivEd",""),IF(M6="X","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 s="17" t="e">
        <f>CONCATENATE("var js",#REF!," = document.getElementbyId('drag",#REF!,"').innerHTML; //  ",#REF!)</f>
        <v>#REF!</v>
      </c>
    </row>
    <row r="7" spans="1:19" x14ac:dyDescent="0.25">
      <c r="A7" s="19" t="s">
        <v>1480</v>
      </c>
      <c r="B7" s="19"/>
      <c r="C7" s="18" t="s">
        <v>1479</v>
      </c>
      <c r="D7" s="17" t="s">
        <v>1478</v>
      </c>
      <c r="E7" s="17" t="s">
        <v>639</v>
      </c>
      <c r="F7" s="17" t="s">
        <v>1477</v>
      </c>
      <c r="G7" s="17" t="s">
        <v>480</v>
      </c>
      <c r="I7" s="17" t="s">
        <v>480</v>
      </c>
      <c r="O7" s="17" t="str">
        <f>CONCATENATE("var js",Table13[[#This Row],[ID]]," = document.getElementbyId('",Table13[[#This Row],[ID]],"').innerHTML; //  ",Table13[[#This Row],[Site]])</f>
        <v>var jsTA006 = document.getElementbyId('TA006').innerHTML; //  Center for Minority Veterans (CMV)</v>
      </c>
      <c r="P7" s="17">
        <f ca="1">CONCATENATE("        &lt;!--",A7," - ",C7," --&gt;&lt;div class='column catAll",IF(I7="X"," catArmySites",""),IF(J7="X"," catCombatReadiness",""),IF(K7="X"," catDod",""),IF(M7="X"," catFamily",""),IF(N7="X"," catFinance",""),IF(O7="X"," catHealth",""),IF(P7="X"," catHuman",""),IF(Q7="X"," catLegal",""),IF(R7="X"," catProDev",""),IF(S7="X"," catTech",""),IF(T7="X"," catMilEd",""),IF(U7="X"," catCivEd",""),IF(V7="X"," catUsGov",""),"' style='margin-bottom: 0px;' id='",F7,"'&gt;&lt;a href='",C7,"' rel='noopener noreferrer' class='column hideMarquee'&gt;&lt;div class='armyCardContainer card'&gt;&lt;div class='armyCard'&gt;&lt;div&gt;&lt;p class='marquee'&gt;",D7,"&lt;/p&gt;",IF(H7="Yes","&lt;img src='assets/CaCRequired.png' title='A CAC is required to use some or all features of this site!' Class='cacLocked'&gt;",""),IF(G7="Yes","&lt;img src='assets/DODlock.png' title='This Site requires a DoD network connection to be used!' Class='dodLocked'&gt;",""),"&lt;img src='assets/",#REF!,"' class='cardImage' loading='lazy'&gt;&lt;/div&gt;&lt;div class='title'&gt;&lt;span&gt;",A7,"&lt;/span&gt;&lt;/div&gt;&lt;/div&gt;&lt;/div&gt;&lt;/a&gt;&lt;/div&gt;&lt;script&gt;var js",F7," = document.getElementById('",F7,"').innerHTML;&lt;/script&gt;")</f>
        <v>0</v>
      </c>
      <c r="Q7" s="17" t="str">
        <f t="shared" si="0"/>
        <v xml:space="preserve">    &lt;details class='noSpacing'&gt;&lt;!-- Center for Minority Veterans (CMV) - https://www.VA.gov/centerforminorityveterans/ --&gt;
      &lt;summary&gt;• &lt;a href='https://www.VA.gov/centerforminorityveterans/' rel='noopener noreferrer'&gt;Center for Minority Veterans (CMV) - https://www.VA.gov/centerforminorityveterans/&lt;/a&gt;&lt;/summary&gt;
      &lt;p&gt;Ensure all veterans receive equal service, advocate for minorities, advice on policies and programs affecting minorities&lt;/p&gt;
    &lt;/details&gt;</v>
      </c>
      <c r="R7" s="17" t="e">
        <f>CONCATENATE("          &lt;!-- ",#REF!," - ",#REF!," --&gt;&lt;div id='drag",#REF!,"' class='catAll",IF(#REF!="X"," catArmySites",""),IF(A7="X"," catCombatReadiness",""),IF(B7="X"," catDod",""),IF(C7="X"," catFamily",""),IF(#REF!="X"," catFinance",""),IF(D7="X"," catHealth",""),IF(F7="X"," catHuman",""),IF(G7="X"," catLegal",""),IF(H7="X"," catProDev",""),IF(I7="X"," catTech",""),IF(J7="X"," catMilEd",""),IF(K7="X"," catCivEd",""),IF(M7="X","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 s="17" t="e">
        <f>CONCATENATE("var js",#REF!," = document.getElementbyId('drag",#REF!,"').innerHTML; //  ",#REF!)</f>
        <v>#REF!</v>
      </c>
    </row>
    <row r="8" spans="1:19" x14ac:dyDescent="0.25">
      <c r="A8" s="19" t="s">
        <v>1476</v>
      </c>
      <c r="B8" s="19"/>
      <c r="C8" s="18" t="s">
        <v>1475</v>
      </c>
      <c r="E8" s="17" t="s">
        <v>639</v>
      </c>
      <c r="F8" s="17" t="s">
        <v>1474</v>
      </c>
      <c r="I8" s="17" t="s">
        <v>480</v>
      </c>
      <c r="J8" s="17" t="s">
        <v>480</v>
      </c>
      <c r="O8" s="17" t="str">
        <f>CONCATENATE("var js",Table13[[#This Row],[ID]]," = document.getElementbyId('",Table13[[#This Row],[ID]],"').innerHTML; //  ",Table13[[#This Row],[Site]])</f>
        <v>var jsTA007 = document.getElementbyId('TA007').innerHTML; //  Center for Women Veterans (CWV)</v>
      </c>
      <c r="P8" s="17">
        <f ca="1">CONCATENATE("        &lt;!--",A8," - ",C8," --&gt;&lt;div class='column catAll",IF(I8="X"," catArmySites",""),IF(J8="X"," catCombatReadiness",""),IF(K8="X"," catDod",""),IF(M8="X"," catFamily",""),IF(N8="X"," catFinance",""),IF(O8="X"," catHealth",""),IF(P8="X"," catHuman",""),IF(Q8="X"," catLegal",""),IF(R8="X"," catProDev",""),IF(S8="X"," catTech",""),IF(T8="X"," catMilEd",""),IF(U8="X"," catCivEd",""),IF(V8="X"," catUsGov",""),"' style='margin-bottom: 0px;' id='",F8,"'&gt;&lt;a href='",C8,"' rel='noopener noreferrer' class='column hideMarquee'&gt;&lt;div class='armyCardContainer card'&gt;&lt;div class='armyCard'&gt;&lt;div&gt;&lt;p class='marquee'&gt;",D8,"&lt;/p&gt;",IF(H8="Yes","&lt;img src='assets/CaCRequired.png' title='A CAC is required to use some or all features of this site!' Class='cacLocked'&gt;",""),IF(G8="Yes","&lt;img src='assets/DODlock.png' title='This Site requires a DoD network connection to be used!' Class='dodLocked'&gt;",""),"&lt;img src='assets/",#REF!,"' class='cardImage' loading='lazy'&gt;&lt;/div&gt;&lt;div class='title'&gt;&lt;span&gt;",A8,"&lt;/span&gt;&lt;/div&gt;&lt;/div&gt;&lt;/div&gt;&lt;/a&gt;&lt;/div&gt;&lt;script&gt;var js",F8," = document.getElementById('",F8,"').innerHTML;&lt;/script&gt;")</f>
        <v>0</v>
      </c>
      <c r="Q8" s="17" t="str">
        <f t="shared" si="0"/>
        <v xml:space="preserve">    &lt;details class='noSpacing'&gt;&lt;!-- Center for Women Veterans (CWV) - https://www.va.gov/womenvet --&gt;
      &lt;summary&gt;• &lt;a href='https://www.va.gov/womenvet' rel='noopener noreferrer'&gt;Center for Women Veterans (CWV) - https://www.va.gov/womenvet&lt;/a&gt;&lt;/summary&gt;
      &lt;p&gt;&lt;/p&gt;
    &lt;/details&gt;</v>
      </c>
      <c r="R8" s="17" t="e">
        <f>CONCATENATE("          &lt;!-- ",#REF!," - ",#REF!," --&gt;&lt;div id='drag",#REF!,"' class='catAll",IF(#REF!="X"," catArmySites",""),IF(A8="X"," catCombatReadiness",""),IF(B8="X"," catDod",""),IF(C8="X"," catFamily",""),IF(#REF!="X"," catFinance",""),IF(D8="X"," catHealth",""),IF(F8="X"," catHuman",""),IF(G8="X"," catLegal",""),IF(H8="X"," catProDev",""),IF(I8="X"," catTech",""),IF(J8="X"," catMilEd",""),IF(K8="X"," catCivEd",""),IF(M8="X","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 s="17" t="e">
        <f>CONCATENATE("var js",#REF!," = document.getElementbyId('drag",#REF!,"').innerHTML; //  ",#REF!)</f>
        <v>#REF!</v>
      </c>
    </row>
    <row r="9" spans="1:19" x14ac:dyDescent="0.25">
      <c r="A9" s="19" t="s">
        <v>1473</v>
      </c>
      <c r="B9" s="19"/>
      <c r="C9" s="18" t="s">
        <v>1472</v>
      </c>
      <c r="E9" s="17" t="s">
        <v>639</v>
      </c>
      <c r="F9" s="17" t="s">
        <v>1471</v>
      </c>
      <c r="G9" s="17" t="s">
        <v>480</v>
      </c>
      <c r="I9" s="17" t="s">
        <v>480</v>
      </c>
      <c r="O9" s="17" t="str">
        <f>CONCATENATE("var js",Table13[[#This Row],[ID]]," = document.getElementbyId('",Table13[[#This Row],[ID]],"').innerHTML; //  ",Table13[[#This Row],[Site]])</f>
        <v>var jsTA008 = document.getElementbyId('TA008').innerHTML; //  Chemical or hazardous material exposure</v>
      </c>
      <c r="P9" s="17">
        <f ca="1">CONCATENATE("        &lt;!--",A9," - ",C9," --&gt;&lt;div class='column catAll",IF(I9="X"," catArmySites",""),IF(J9="X"," catCombatReadiness",""),IF(K9="X"," catDod",""),IF(M9="X"," catFamily",""),IF(N9="X"," catFinance",""),IF(O9="X"," catHealth",""),IF(P9="X"," catHuman",""),IF(Q9="X"," catLegal",""),IF(R9="X"," catProDev",""),IF(S9="X"," catTech",""),IF(T9="X"," catMilEd",""),IF(U9="X"," catCivEd",""),IF(V9="X"," catUsGov",""),"' style='margin-bottom: 0px;' id='",F9,"'&gt;&lt;a href='",C9,"' rel='noopener noreferrer' class='column hideMarquee'&gt;&lt;div class='armyCardContainer card'&gt;&lt;div class='armyCard'&gt;&lt;div&gt;&lt;p class='marquee'&gt;",D9,"&lt;/p&gt;",IF(H9="Yes","&lt;img src='assets/CaCRequired.png' title='A CAC is required to use some or all features of this site!' Class='cacLocked'&gt;",""),IF(G9="Yes","&lt;img src='assets/DODlock.png' title='This Site requires a DoD network connection to be used!' Class='dodLocked'&gt;",""),"&lt;img src='assets/",#REF!,"' class='cardImage' loading='lazy'&gt;&lt;/div&gt;&lt;div class='title'&gt;&lt;span&gt;",A9,"&lt;/span&gt;&lt;/div&gt;&lt;/div&gt;&lt;/div&gt;&lt;/a&gt;&lt;/div&gt;&lt;script&gt;var js",F9," = document.getElementById('",F9,"').innerHTML;&lt;/script&gt;")</f>
        <v>0</v>
      </c>
      <c r="Q9" s="17" t="str">
        <f t="shared" si="0"/>
        <v xml:space="preserve">    &lt;details class='noSpacing'&gt;&lt;!-- Chemical or hazardous material exposure - https://www.va.gov/health-care/health-needs-conditions/chemical-hazardous-materials-exposure --&gt;
      &lt;summary&gt;• &lt;a href='https://www.va.gov/health-care/health-needs-conditions/chemical-hazardous-materials-exposure' rel='noopener noreferrer'&gt;Chemical or hazardous material exposure - https://www.va.gov/health-care/health-needs-conditions/chemical-hazardous-materials-exposure&lt;/a&gt;&lt;/summary&gt;
      &lt;p&gt;&lt;/p&gt;
    &lt;/details&gt;</v>
      </c>
      <c r="R9" s="17" t="e">
        <f>CONCATENATE("          &lt;!-- ",#REF!," - ",#REF!," --&gt;&lt;div id='drag",#REF!,"' class='catAll",IF(#REF!="X"," catArmySites",""),IF(A9="X"," catCombatReadiness",""),IF(B9="X"," catDod",""),IF(C9="X"," catFamily",""),IF(#REF!="X"," catFinance",""),IF(D9="X"," catHealth",""),IF(F9="X"," catHuman",""),IF(G9="X"," catLegal",""),IF(H9="X"," catProDev",""),IF(I9="X"," catTech",""),IF(J9="X"," catMilEd",""),IF(K9="X"," catCivEd",""),IF(M9="X","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 s="17" t="e">
        <f>CONCATENATE("var js",#REF!," = document.getElementbyId('drag",#REF!,"').innerHTML; //  ",#REF!)</f>
        <v>#REF!</v>
      </c>
    </row>
    <row r="10" spans="1:19" x14ac:dyDescent="0.25">
      <c r="A10" s="19" t="s">
        <v>1470</v>
      </c>
      <c r="B10" s="19"/>
      <c r="C10" s="18" t="s">
        <v>1469</v>
      </c>
      <c r="E10" s="17" t="s">
        <v>639</v>
      </c>
      <c r="F10" s="17" t="s">
        <v>1468</v>
      </c>
      <c r="H10" s="17" t="s">
        <v>18</v>
      </c>
      <c r="O10" s="17" t="str">
        <f>CONCATENATE("var js",Table13[[#This Row],[ID]]," = document.getElementbyId('",Table13[[#This Row],[ID]],"').innerHTML; //  ",Table13[[#This Row],[Site]])</f>
        <v>var jsTA009 = document.getElementbyId('TA009').innerHTML; //  Consumer Financial Protection Bureau</v>
      </c>
      <c r="P10" s="17">
        <f ca="1">CONCATENATE("        &lt;!--",A10," - ",C10," --&gt;&lt;div class='column catAll",IF(I10="X"," catArmySites",""),IF(J10="X"," catCombatReadiness",""),IF(K10="X"," catDod",""),IF(M10="X"," catFamily",""),IF(N10="X"," catFinance",""),IF(O10="X"," catHealth",""),IF(P10="X"," catHuman",""),IF(Q10="X"," catLegal",""),IF(R10="X"," catProDev",""),IF(S10="X"," catTech",""),IF(T10="X"," catMilEd",""),IF(U10="X"," catCivEd",""),IF(V10="X"," catUsGov",""),"' style='margin-bottom: 0px;' id='",F10,"'&gt;&lt;a href='",C10,"' rel='noopener noreferrer' class='column hideMarquee'&gt;&lt;div class='armyCardContainer card'&gt;&lt;div class='armyCard'&gt;&lt;div&gt;&lt;p class='marquee'&gt;",D10,"&lt;/p&gt;",IF(H10="Yes","&lt;img src='assets/CaCRequired.png' title='A CAC is required to use some or all features of this site!' Class='cacLocked'&gt;",""),IF(G10="Yes","&lt;img src='assets/DODlock.png' title='This Site requires a DoD network connection to be used!' Class='dodLocked'&gt;",""),"&lt;img src='assets/",#REF!,"' class='cardImage' loading='lazy'&gt;&lt;/div&gt;&lt;div class='title'&gt;&lt;span&gt;",A10,"&lt;/span&gt;&lt;/div&gt;&lt;/div&gt;&lt;/div&gt;&lt;/a&gt;&lt;/div&gt;&lt;script&gt;var js",F10," = document.getElementById('",F10,"').innerHTML;&lt;/script&gt;")</f>
        <v>0</v>
      </c>
      <c r="Q10" s="17" t="str">
        <f t="shared" si="0"/>
        <v xml:space="preserve">    &lt;details class='noSpacing'&gt;&lt;!-- Consumer Financial Protection Bureau - https://www.consumerfinance.gov --&gt;
      &lt;summary&gt;• &lt;a href='https://www.consumerfinance.gov' rel='noopener noreferrer'&gt;Consumer Financial Protection Bureau - https://www.consumerfinance.gov&lt;/a&gt;&lt;/summary&gt;
      &lt;p&gt;&lt;/p&gt;
    &lt;/details&gt;</v>
      </c>
      <c r="R10" s="17" t="e">
        <f>CONCATENATE("          &lt;!-- ",#REF!," - ",#REF!," --&gt;&lt;div id='drag",#REF!,"' class='catAll",IF(#REF!="X"," catArmySites",""),IF(A10="X"," catCombatReadiness",""),IF(B10="X"," catDod",""),IF(C10="X"," catFamily",""),IF(#REF!="X"," catFinance",""),IF(D10="X"," catHealth",""),IF(F10="X"," catHuman",""),IF(G10="X"," catLegal",""),IF(H10="X"," catProDev",""),IF(I10="X"," catTech",""),IF(J10="X"," catMilEd",""),IF(K10="X"," catCivEd",""),IF(M10="X","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 s="17" t="e">
        <f>CONCATENATE("var js",#REF!," = document.getElementbyId('drag",#REF!,"').innerHTML; //  ",#REF!)</f>
        <v>#REF!</v>
      </c>
    </row>
    <row r="11" spans="1:19" x14ac:dyDescent="0.25">
      <c r="A11" s="19" t="s">
        <v>1467</v>
      </c>
      <c r="B11" s="19"/>
      <c r="C11" s="18" t="s">
        <v>1466</v>
      </c>
      <c r="E11" s="17" t="s">
        <v>639</v>
      </c>
      <c r="F11" s="17" t="s">
        <v>1465</v>
      </c>
      <c r="N11" s="17" t="s">
        <v>480</v>
      </c>
      <c r="O11" s="17" t="str">
        <f>CONCATENATE("var js",Table13[[#This Row],[ID]]," = document.getElementbyId('",Table13[[#This Row],[ID]],"').innerHTML; //  ",Table13[[#This Row],[Site]])</f>
        <v>var jsTA010 = document.getElementbyId('TA010').innerHTML; //  Correcting Military Service Records</v>
      </c>
      <c r="P11" s="17">
        <f ca="1">CONCATENATE("        &lt;!--",A11," - ",C11," --&gt;&lt;div class='column catAll",IF(I11="X"," catArmySites",""),IF(J11="X"," catCombatReadiness",""),IF(K11="X"," catDod",""),IF(M11="X"," catFamily",""),IF(N11="X"," catFinance",""),IF(O11="X"," catHealth",""),IF(P11="X"," catHuman",""),IF(Q11="X"," catLegal",""),IF(R11="X"," catProDev",""),IF(S11="X"," catTech",""),IF(T11="X"," catMilEd",""),IF(U11="X"," catCivEd",""),IF(V11="X"," catUsGov",""),"' style='margin-bottom: 0px;' id='",F11,"'&gt;&lt;a href='",C11,"' rel='noopener noreferrer' class='column hideMarquee'&gt;&lt;div class='armyCardContainer card'&gt;&lt;div class='armyCard'&gt;&lt;div&gt;&lt;p class='marquee'&gt;",D11,"&lt;/p&gt;",IF(H11="Yes","&lt;img src='assets/CaCRequired.png' title='A CAC is required to use some or all features of this site!' Class='cacLocked'&gt;",""),IF(G11="Yes","&lt;img src='assets/DODlock.png' title='This Site requires a DoD network connection to be used!' Class='dodLocked'&gt;",""),"&lt;img src='assets/",#REF!,"' class='cardImage' loading='lazy'&gt;&lt;/div&gt;&lt;div class='title'&gt;&lt;span&gt;",A11,"&lt;/span&gt;&lt;/div&gt;&lt;/div&gt;&lt;/div&gt;&lt;/a&gt;&lt;/div&gt;&lt;script&gt;var js",F11," = document.getElementById('",F11,"').innerHTML;&lt;/script&gt;")</f>
        <v>0</v>
      </c>
      <c r="Q11" s="17" t="str">
        <f t="shared" si="0"/>
        <v xml:space="preserve">    &lt;details class='noSpacing'&gt;&lt;!-- Correcting Military Service Records - https://www.archives.gov/veterans/military-service-records/correct-service-records.html --&gt;
      &lt;summary&gt;• &lt;a href='https://www.archives.gov/veterans/military-service-records/correct-service-records.html' rel='noopener noreferrer'&gt;Correcting Military Service Records - https://www.archives.gov/veterans/military-service-records/correct-service-records.html&lt;/a&gt;&lt;/summary&gt;
      &lt;p&gt;&lt;/p&gt;
    &lt;/details&gt;</v>
      </c>
      <c r="R11" s="17" t="e">
        <f>CONCATENATE("          &lt;!-- ",#REF!," - ",#REF!," --&gt;&lt;div id='drag",#REF!,"' class='catAll",IF(#REF!="X"," catArmySites",""),IF(A11="X"," catCombatReadiness",""),IF(B11="X"," catDod",""),IF(C11="X"," catFamily",""),IF(#REF!="X"," catFinance",""),IF(D11="X"," catHealth",""),IF(F11="X"," catHuman",""),IF(G11="X"," catLegal",""),IF(H11="X"," catProDev",""),IF(I11="X"," catTech",""),IF(J11="X"," catMilEd",""),IF(K11="X"," catCivEd",""),IF(M11="X","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 s="17" t="e">
        <f>CONCATENATE("var js",#REF!," = document.getElementbyId('drag",#REF!,"').innerHTML; //  ",#REF!)</f>
        <v>#REF!</v>
      </c>
    </row>
    <row r="12" spans="1:19" x14ac:dyDescent="0.25">
      <c r="A12" s="19" t="s">
        <v>1464</v>
      </c>
      <c r="B12" s="19"/>
      <c r="C12" s="18" t="s">
        <v>1463</v>
      </c>
      <c r="E12" s="17" t="s">
        <v>639</v>
      </c>
      <c r="F12" s="17" t="s">
        <v>1462</v>
      </c>
      <c r="M12" s="17" t="s">
        <v>480</v>
      </c>
      <c r="O12" s="17" t="str">
        <f>CONCATENATE("var js",Table13[[#This Row],[ID]]," = document.getElementbyId('",Table13[[#This Row],[ID]],"').innerHTML; //  ",Table13[[#This Row],[Site]])</f>
        <v>var jsTA011 = document.getElementbyId('TA011').innerHTML; //  Defense Finance and Accounting Service (DFAS) - Retir\ed Military</v>
      </c>
      <c r="P12" s="17">
        <f ca="1">CONCATENATE("        &lt;!--",A12," - ",C12," --&gt;&lt;div class='column catAll",IF(I12="X"," catArmySites",""),IF(J12="X"," catCombatReadiness",""),IF(K12="X"," catDod",""),IF(M12="X"," catFamily",""),IF(N12="X"," catFinance",""),IF(O12="X"," catHealth",""),IF(P12="X"," catHuman",""),IF(Q12="X"," catLegal",""),IF(R12="X"," catProDev",""),IF(S12="X"," catTech",""),IF(T12="X"," catMilEd",""),IF(U12="X"," catCivEd",""),IF(V12="X"," catUsGov",""),"' style='margin-bottom: 0px;' id='",F12,"'&gt;&lt;a href='",C12,"' rel='noopener noreferrer' class='column hideMarquee'&gt;&lt;div class='armyCardContainer card'&gt;&lt;div class='armyCard'&gt;&lt;div&gt;&lt;p class='marquee'&gt;",D12,"&lt;/p&gt;",IF(H12="Yes","&lt;img src='assets/CaCRequired.png' title='A CAC is required to use some or all features of this site!' Class='cacLocked'&gt;",""),IF(G12="Yes","&lt;img src='assets/DODlock.png' title='This Site requires a DoD network connection to be used!' Class='dodLocked'&gt;",""),"&lt;img src='assets/",#REF!,"' class='cardImage' loading='lazy'&gt;&lt;/div&gt;&lt;div class='title'&gt;&lt;span&gt;",A12,"&lt;/span&gt;&lt;/div&gt;&lt;/div&gt;&lt;/div&gt;&lt;/a&gt;&lt;/div&gt;&lt;script&gt;var js",F12," = document.getElementById('",F12,"').innerHTML;&lt;/script&gt;")</f>
        <v>0</v>
      </c>
      <c r="Q12" s="17" t="str">
        <f t="shared" si="0"/>
        <v xml:space="preserve">    &lt;details class='noSpacing'&gt;&lt;!-- Defense Finance and Accounting Service (DFAS) - Retir\ed Military - https://www.dfas.mil/RetiredMilitary/ --&gt;
      &lt;summary&gt;• &lt;a href='https://www.dfas.mil/RetiredMilitary/' rel='noopener noreferrer'&gt;Defense Finance and Accounting Service (DFAS) - Retir\ed Military - https://www.dfas.mil/RetiredMilitary/&lt;/a&gt;&lt;/summary&gt;
      &lt;p&gt;&lt;/p&gt;
    &lt;/details&gt;</v>
      </c>
      <c r="R12" s="17" t="e">
        <f>CONCATENATE("          &lt;!-- ",#REF!," - ",#REF!," --&gt;&lt;div id='drag",#REF!,"' class='catAll",IF(#REF!="X"," catArmySites",""),IF(A12="X"," catCombatReadiness",""),IF(B12="X"," catDod",""),IF(C12="X"," catFamily",""),IF(#REF!="X"," catFinance",""),IF(D12="X"," catHealth",""),IF(F12="X"," catHuman",""),IF(G12="X"," catLegal",""),IF(H12="X"," catProDev",""),IF(I12="X"," catTech",""),IF(J12="X"," catMilEd",""),IF(K12="X"," catCivEd",""),IF(M12="X","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 s="17" t="e">
        <f>CONCATENATE("var js",#REF!," = document.getElementbyId('drag",#REF!,"').innerHTML; //  ",#REF!)</f>
        <v>#REF!</v>
      </c>
    </row>
    <row r="13" spans="1:19" x14ac:dyDescent="0.25">
      <c r="A13" s="19" t="s">
        <v>1461</v>
      </c>
      <c r="B13" s="19"/>
      <c r="C13" s="18" t="s">
        <v>1460</v>
      </c>
      <c r="E13" s="17" t="s">
        <v>639</v>
      </c>
      <c r="F13" s="17" t="s">
        <v>1459</v>
      </c>
      <c r="H13" s="17" t="s">
        <v>18</v>
      </c>
      <c r="I13" s="17" t="s">
        <v>480</v>
      </c>
      <c r="O13" s="17" t="str">
        <f>CONCATENATE("var js",Table13[[#This Row],[ID]]," = document.getElementbyId('",Table13[[#This Row],[ID]],"').innerHTML; //  ",Table13[[#This Row],[Site]])</f>
        <v>var jsTA012 = document.getElementbyId('TA012').innerHTML; //  Disability housing grants for Veterans</v>
      </c>
      <c r="P13" s="17">
        <f ca="1">CONCATENATE("        &lt;!--",A13," - ",C13," --&gt;&lt;div class='column catAll",IF(I13="X"," catArmySites",""),IF(J13="X"," catCombatReadiness",""),IF(K13="X"," catDod",""),IF(M13="X"," catFamily",""),IF(N13="X"," catFinance",""),IF(O13="X"," catHealth",""),IF(P13="X"," catHuman",""),IF(Q13="X"," catLegal",""),IF(R13="X"," catProDev",""),IF(S13="X"," catTech",""),IF(T13="X"," catMilEd",""),IF(U13="X"," catCivEd",""),IF(V13="X"," catUsGov",""),"' style='margin-bottom: 0px;' id='",F13,"'&gt;&lt;a href='",C13,"' rel='noopener noreferrer' class='column hideMarquee'&gt;&lt;div class='armyCardContainer card'&gt;&lt;div class='armyCard'&gt;&lt;div&gt;&lt;p class='marquee'&gt;",D13,"&lt;/p&gt;",IF(H13="Yes","&lt;img src='assets/CaCRequired.png' title='A CAC is required to use some or all features of this site!' Class='cacLocked'&gt;",""),IF(G13="Yes","&lt;img src='assets/DODlock.png' title='This Site requires a DoD network connection to be used!' Class='dodLocked'&gt;",""),"&lt;img src='assets/",#REF!,"' class='cardImage' loading='lazy'&gt;&lt;/div&gt;&lt;div class='title'&gt;&lt;span&gt;",A13,"&lt;/span&gt;&lt;/div&gt;&lt;/div&gt;&lt;/div&gt;&lt;/a&gt;&lt;/div&gt;&lt;script&gt;var js",F13," = document.getElementById('",F13,"').innerHTML;&lt;/script&gt;")</f>
        <v>0</v>
      </c>
      <c r="Q13" s="17" t="str">
        <f t="shared" si="0"/>
        <v xml:space="preserve">    &lt;details class='noSpacing'&gt;&lt;!-- Disability housing grants for Veterans - https://www.va.gov/housing-assistance/disability-housing-grants --&gt;
      &lt;summary&gt;• &lt;a href='https://www.va.gov/housing-assistance/disability-housing-grants' rel='noopener noreferrer'&gt;Disability housing grants for Veterans - https://www.va.gov/housing-assistance/disability-housing-grants&lt;/a&gt;&lt;/summary&gt;
      &lt;p&gt;&lt;/p&gt;
    &lt;/details&gt;</v>
      </c>
      <c r="R13" s="17" t="e">
        <f>CONCATENATE("          &lt;!-- ",#REF!," - ",#REF!," --&gt;&lt;div id='drag",#REF!,"' class='catAll",IF(#REF!="X"," catArmySites",""),IF(A13="X"," catCombatReadiness",""),IF(B13="X"," catDod",""),IF(C13="X"," catFamily",""),IF(#REF!="X"," catFinance",""),IF(D13="X"," catHealth",""),IF(F13="X"," catHuman",""),IF(G13="X"," catLegal",""),IF(H13="X"," catProDev",""),IF(I13="X"," catTech",""),IF(J13="X"," catMilEd",""),IF(K13="X"," catCivEd",""),IF(M13="X","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 s="17" t="e">
        <f>CONCATENATE("var js",#REF!," = document.getElementbyId('drag",#REF!,"').innerHTML; //  ",#REF!)</f>
        <v>#REF!</v>
      </c>
    </row>
    <row r="14" spans="1:19" x14ac:dyDescent="0.25">
      <c r="A14" s="19" t="s">
        <v>1458</v>
      </c>
      <c r="B14" s="19"/>
      <c r="C14" s="18" t="s">
        <v>1457</v>
      </c>
      <c r="E14" s="17" t="s">
        <v>639</v>
      </c>
      <c r="F14" s="17" t="s">
        <v>1456</v>
      </c>
      <c r="K14" s="17" t="s">
        <v>480</v>
      </c>
      <c r="O14" s="17" t="str">
        <f>CONCATENATE("var js",Table13[[#This Row],[ID]]," = document.getElementbyId('",Table13[[#This Row],[ID]],"').innerHTML; //  ",Table13[[#This Row],[Site]])</f>
        <v>var jsTA013 = document.getElementbyId('TA013').innerHTML; //  DOD Skillbridge</v>
      </c>
      <c r="P14" s="17">
        <f ca="1">CONCATENATE("        &lt;!--",A14," - ",C14," --&gt;&lt;div class='column catAll",IF(I14="X"," catArmySites",""),IF(J14="X"," catCombatReadiness",""),IF(K14="X"," catDod",""),IF(M14="X"," catFamily",""),IF(N14="X"," catFinance",""),IF(O14="X"," catHealth",""),IF(P14="X"," catHuman",""),IF(Q14="X"," catLegal",""),IF(R14="X"," catProDev",""),IF(S14="X"," catTech",""),IF(T14="X"," catMilEd",""),IF(U14="X"," catCivEd",""),IF(V14="X"," catUsGov",""),"' style='margin-bottom: 0px;' id='",F14,"'&gt;&lt;a href='",C14,"' rel='noopener noreferrer' class='column hideMarquee'&gt;&lt;div class='armyCardContainer card'&gt;&lt;div class='armyCard'&gt;&lt;div&gt;&lt;p class='marquee'&gt;",D14,"&lt;/p&gt;",IF(H14="Yes","&lt;img src='assets/CaCRequired.png' title='A CAC is required to use some or all features of this site!' Class='cacLocked'&gt;",""),IF(G14="Yes","&lt;img src='assets/DODlock.png' title='This Site requires a DoD network connection to be used!' Class='dodLocked'&gt;",""),"&lt;img src='assets/",#REF!,"' class='cardImage' loading='lazy'&gt;&lt;/div&gt;&lt;div class='title'&gt;&lt;span&gt;",A14,"&lt;/span&gt;&lt;/div&gt;&lt;/div&gt;&lt;/div&gt;&lt;/a&gt;&lt;/div&gt;&lt;script&gt;var js",F14," = document.getElementById('",F14,"').innerHTML;&lt;/script&gt;")</f>
        <v>0</v>
      </c>
      <c r="Q14" s="17" t="str">
        <f t="shared" si="0"/>
        <v xml:space="preserve">    &lt;details class='noSpacing'&gt;&lt;!-- DOD Skillbridge - https://skillbridge.osd.mil --&gt;
      &lt;summary&gt;• &lt;a href='https://skillbridge.osd.mil' rel='noopener noreferrer'&gt;DOD Skillbridge - https://skillbridge.osd.mil&lt;/a&gt;&lt;/summary&gt;
      &lt;p&gt;&lt;/p&gt;
    &lt;/details&gt;</v>
      </c>
      <c r="R14" s="17" t="e">
        <f>CONCATENATE("          &lt;!-- ",#REF!," - ",#REF!," --&gt;&lt;div id='drag",#REF!,"' class='catAll",IF(#REF!="X"," catArmySites",""),IF(A14="X"," catCombatReadiness",""),IF(B14="X"," catDod",""),IF(C14="X"," catFamily",""),IF(#REF!="X"," catFinance",""),IF(D14="X"," catHealth",""),IF(F14="X"," catHuman",""),IF(G14="X"," catLegal",""),IF(H14="X"," catProDev",""),IF(I14="X"," catTech",""),IF(J14="X"," catMilEd",""),IF(K14="X"," catCivEd",""),IF(M14="X","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4" s="17" t="e">
        <f>CONCATENATE("var js",#REF!," = document.getElementbyId('drag",#REF!,"').innerHTML; //  ",#REF!)</f>
        <v>#REF!</v>
      </c>
    </row>
    <row r="15" spans="1:19" x14ac:dyDescent="0.25">
      <c r="A15" s="19" t="s">
        <v>1455</v>
      </c>
      <c r="B15" s="19"/>
      <c r="C15" s="18" t="s">
        <v>1454</v>
      </c>
      <c r="D15" s="17" t="s">
        <v>1453</v>
      </c>
      <c r="E15" s="17" t="s">
        <v>639</v>
      </c>
      <c r="F15" s="17" t="s">
        <v>1452</v>
      </c>
      <c r="G15" s="17" t="s">
        <v>480</v>
      </c>
      <c r="O15" s="17" t="str">
        <f>CONCATENATE("var js",Table13[[#This Row],[ID]]," = document.getElementbyId('",Table13[[#This Row],[ID]],"').innerHTML; //  ",Table13[[#This Row],[Site]])</f>
        <v>var jsTA014 = document.getElementbyId('TA014').innerHTML; //  ETS Sponsorship Program - National Resource Directory</v>
      </c>
      <c r="P15" s="17">
        <f ca="1">CONCATENATE("        &lt;!--",A15," - ",C15," --&gt;&lt;div class='column catAll",IF(I15="X"," catArmySites",""),IF(J15="X"," catCombatReadiness",""),IF(K15="X"," catDod",""),IF(M15="X"," catFamily",""),IF(N15="X"," catFinance",""),IF(O15="X"," catHealth",""),IF(P15="X"," catHuman",""),IF(Q15="X"," catLegal",""),IF(R15="X"," catProDev",""),IF(S15="X"," catTech",""),IF(T15="X"," catMilEd",""),IF(U15="X"," catCivEd",""),IF(V15="X"," catUsGov",""),"' style='margin-bottom: 0px;' id='",F15,"'&gt;&lt;a href='",C15,"' rel='noopener noreferrer' class='column hideMarquee'&gt;&lt;div class='armyCardContainer card'&gt;&lt;div class='armyCard'&gt;&lt;div&gt;&lt;p class='marquee'&gt;",D15,"&lt;/p&gt;",IF(H15="Yes","&lt;img src='assets/CaCRequired.png' title='A CAC is required to use some or all features of this site!' Class='cacLocked'&gt;",""),IF(G15="Yes","&lt;img src='assets/DODlock.png' title='This Site requires a DoD network connection to be used!' Class='dodLocked'&gt;",""),"&lt;img src='assets/",#REF!,"' class='cardImage' loading='lazy'&gt;&lt;/div&gt;&lt;div class='title'&gt;&lt;span&gt;",A15,"&lt;/span&gt;&lt;/div&gt;&lt;/div&gt;&lt;/div&gt;&lt;/a&gt;&lt;/div&gt;&lt;script&gt;var js",F15," = document.getElementById('",F15,"').innerHTML;&lt;/script&gt;")</f>
        <v>0</v>
      </c>
      <c r="Q15" s="17" t="str">
        <f t="shared" si="0"/>
        <v xml:space="preserve">    &lt;details class='noSpacing'&gt;&lt;!-- ETS Sponsorship Program - National Resource Directory - https://nrd.gov/resource/detail/21079956/ETS+Sponsorship --&gt;
      &lt;summary&gt;• &lt;a href='https://nrd.gov/resource/detail/21079956/ETS+Sponsorship' rel='noopener noreferrer'&gt;ETS Sponsorship Program - National Resource Directory - https://nrd.gov/resource/detail/21079956/ETS+Sponsorship&lt;/a&gt;&lt;/summary&gt;
      &lt;p&gt;help find housing and jobs, persue education, access mental healht, support families&lt;/p&gt;
    &lt;/details&gt;</v>
      </c>
      <c r="R15" s="17" t="e">
        <f>CONCATENATE("          &lt;!-- ",#REF!," - ",#REF!," --&gt;&lt;div id='drag",#REF!,"' class='catAll",IF(#REF!="X"," catArmySites",""),IF(A15="X"," catCombatReadiness",""),IF(B15="X"," catDod",""),IF(C15="X"," catFamily",""),IF(#REF!="X"," catFinance",""),IF(D15="X"," catHealth",""),IF(F15="X"," catHuman",""),IF(G15="X"," catLegal",""),IF(H15="X"," catProDev",""),IF(I15="X"," catTech",""),IF(J15="X"," catMilEd",""),IF(K15="X"," catCivEd",""),IF(M15="X","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5" s="17" t="e">
        <f>CONCATENATE("var js",#REF!," = document.getElementbyId('drag",#REF!,"').innerHTML; //  ",#REF!)</f>
        <v>#REF!</v>
      </c>
    </row>
    <row r="16" spans="1:19" x14ac:dyDescent="0.25">
      <c r="A16" s="19" t="s">
        <v>1451</v>
      </c>
      <c r="B16" s="19"/>
      <c r="C16" s="18" t="s">
        <v>1450</v>
      </c>
      <c r="E16" s="17" t="s">
        <v>639</v>
      </c>
      <c r="F16" s="17" t="s">
        <v>1449</v>
      </c>
      <c r="I16" s="17" t="s">
        <v>480</v>
      </c>
      <c r="M16" s="17" t="s">
        <v>480</v>
      </c>
      <c r="O16" s="17" t="str">
        <f>CONCATENATE("var js",Table13[[#This Row],[ID]]," = document.getElementbyId('",Table13[[#This Row],[ID]],"').innerHTML; //  ",Table13[[#This Row],[Site]])</f>
        <v>var jsTA015 = document.getElementbyId('TA015').innerHTML; //  Family Servicemembers’ Group Life Insurance (FSGLI)</v>
      </c>
      <c r="P16" s="17">
        <f ca="1">CONCATENATE("        &lt;!--",A16," - ",C16," --&gt;&lt;div class='column catAll",IF(I16="X"," catArmySites",""),IF(J16="X"," catCombatReadiness",""),IF(K16="X"," catDod",""),IF(M16="X"," catFamily",""),IF(N16="X"," catFinance",""),IF(O16="X"," catHealth",""),IF(P16="X"," catHuman",""),IF(Q16="X"," catLegal",""),IF(R16="X"," catProDev",""),IF(S16="X"," catTech",""),IF(T16="X"," catMilEd",""),IF(U16="X"," catCivEd",""),IF(V16="X"," catUsGov",""),"' style='margin-bottom: 0px;' id='",F16,"'&gt;&lt;a href='",C16,"' rel='noopener noreferrer' class='column hideMarquee'&gt;&lt;div class='armyCardContainer card'&gt;&lt;div class='armyCard'&gt;&lt;div&gt;&lt;p class='marquee'&gt;",D16,"&lt;/p&gt;",IF(H16="Yes","&lt;img src='assets/CaCRequired.png' title='A CAC is required to use some or all features of this site!' Class='cacLocked'&gt;",""),IF(G16="Yes","&lt;img src='assets/DODlock.png' title='This Site requires a DoD network connection to be used!' Class='dodLocked'&gt;",""),"&lt;img src='assets/",#REF!,"' class='cardImage' loading='lazy'&gt;&lt;/div&gt;&lt;div class='title'&gt;&lt;span&gt;",A16,"&lt;/span&gt;&lt;/div&gt;&lt;/div&gt;&lt;/div&gt;&lt;/a&gt;&lt;/div&gt;&lt;script&gt;var js",F16," = document.getElementById('",F16,"').innerHTML;&lt;/script&gt;")</f>
        <v>0</v>
      </c>
      <c r="Q16" s="17" t="str">
        <f t="shared" si="0"/>
        <v xml:space="preserve">    &lt;details class='noSpacing'&gt;&lt;!-- Family Servicemembers’ Group Life Insurance (FSGLI) - https://www.va.gov/life-insurance/options-eligibility/fsgli --&gt;
      &lt;summary&gt;• &lt;a href='https://www.va.gov/life-insurance/options-eligibility/fsgli' rel='noopener noreferrer'&gt;Family Servicemembers’ Group Life Insurance (FSGLI) - https://www.va.gov/life-insurance/options-eligibility/fsgli&lt;/a&gt;&lt;/summary&gt;
      &lt;p&gt;&lt;/p&gt;
    &lt;/details&gt;</v>
      </c>
      <c r="R16" s="17" t="e">
        <f>CONCATENATE("          &lt;!-- ",#REF!," - ",#REF!," --&gt;&lt;div id='drag",#REF!,"' class='catAll",IF(#REF!="X"," catArmySites",""),IF(A16="X"," catCombatReadiness",""),IF(B16="X"," catDod",""),IF(C16="X"," catFamily",""),IF(#REF!="X"," catFinance",""),IF(D16="X"," catHealth",""),IF(F16="X"," catHuman",""),IF(G16="X"," catLegal",""),IF(H16="X"," catProDev",""),IF(I16="X"," catTech",""),IF(J16="X"," catMilEd",""),IF(K16="X"," catCivEd",""),IF(M16="X","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6" s="17" t="e">
        <f>CONCATENATE("var js",#REF!," = document.getElementbyId('drag",#REF!,"').innerHTML; //  ",#REF!)</f>
        <v>#REF!</v>
      </c>
    </row>
    <row r="17" spans="1:19" x14ac:dyDescent="0.25">
      <c r="A17" s="19" t="s">
        <v>1448</v>
      </c>
      <c r="B17" s="19"/>
      <c r="C17" s="18" t="s">
        <v>1447</v>
      </c>
      <c r="E17" s="17" t="s">
        <v>639</v>
      </c>
      <c r="F17" s="17" t="s">
        <v>1446</v>
      </c>
      <c r="I17" s="17" t="s">
        <v>480</v>
      </c>
      <c r="M17" s="17" t="s">
        <v>480</v>
      </c>
      <c r="O17" s="17" t="str">
        <f>CONCATENATE("var js",Table13[[#This Row],[ID]]," = document.getElementbyId('",Table13[[#This Row],[ID]],"').innerHTML; //  ",Table13[[#This Row],[Site]])</f>
        <v>var jsTA016 = document.getElementbyId('TA016').innerHTML; //  File a pre-discharge claim while overseas</v>
      </c>
      <c r="P17" s="17">
        <f ca="1">CONCATENATE("        &lt;!--",A17," - ",C17," --&gt;&lt;div class='column catAll",IF(I17="X"," catArmySites",""),IF(J17="X"," catCombatReadiness",""),IF(K17="X"," catDod",""),IF(M17="X"," catFamily",""),IF(N17="X"," catFinance",""),IF(O17="X"," catHealth",""),IF(P17="X"," catHuman",""),IF(Q17="X"," catLegal",""),IF(R17="X"," catProDev",""),IF(S17="X"," catTech",""),IF(T17="X"," catMilEd",""),IF(U17="X"," catCivEd",""),IF(V17="X"," catUsGov",""),"' style='margin-bottom: 0px;' id='",F17,"'&gt;&lt;a href='",C17,"' rel='noopener noreferrer' class='column hideMarquee'&gt;&lt;div class='armyCardContainer card'&gt;&lt;div class='armyCard'&gt;&lt;div&gt;&lt;p class='marquee'&gt;",D17,"&lt;/p&gt;",IF(H17="Yes","&lt;img src='assets/CaCRequired.png' title='A CAC is required to use some or all features of this site!' Class='cacLocked'&gt;",""),IF(G17="Yes","&lt;img src='assets/DODlock.png' title='This Site requires a DoD network connection to be used!' Class='dodLocked'&gt;",""),"&lt;img src='assets/",#REF!,"' class='cardImage' loading='lazy'&gt;&lt;/div&gt;&lt;div class='title'&gt;&lt;span&gt;",A17,"&lt;/span&gt;&lt;/div&gt;&lt;/div&gt;&lt;/div&gt;&lt;/a&gt;&lt;/div&gt;&lt;script&gt;var js",F17," = document.getElementById('",F17,"').innerHTML;&lt;/script&gt;")</f>
        <v>0</v>
      </c>
      <c r="Q17" s="17" t="str">
        <f t="shared" si="0"/>
        <v xml:space="preserve">    &lt;details class='noSpacing'&gt;&lt;!-- File a pre-discharge claim while overseas - https://www.va.gov/disability/how-to-file-claim/when-to-file/pre-discharge-claim/file-while-overseas --&gt;
      &lt;summary&gt;• &lt;a href='https://www.va.gov/disability/how-to-file-claim/when-to-file/pre-discharge-claim/file-while-overseas' rel='noopener noreferrer'&gt;File a pre-discharge claim while overseas - https://www.va.gov/disability/how-to-file-claim/when-to-file/pre-discharge-claim/file-while-overseas&lt;/a&gt;&lt;/summary&gt;
      &lt;p&gt;&lt;/p&gt;
    &lt;/details&gt;</v>
      </c>
      <c r="R17" s="17" t="e">
        <f>CONCATENATE("          &lt;!-- ",#REF!," - ",#REF!," --&gt;&lt;div id='drag",#REF!,"' class='catAll",IF(#REF!="X"," catArmySites",""),IF(A17="X"," catCombatReadiness",""),IF(B17="X"," catDod",""),IF(C17="X"," catFamily",""),IF(#REF!="X"," catFinance",""),IF(D17="X"," catHealth",""),IF(F17="X"," catHuman",""),IF(G17="X"," catLegal",""),IF(H17="X"," catProDev",""),IF(I17="X"," catTech",""),IF(J17="X"," catMilEd",""),IF(K17="X"," catCivEd",""),IF(M17="X","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7" s="17" t="e">
        <f>CONCATENATE("var js",#REF!," = document.getElementbyId('drag",#REF!,"').innerHTML; //  ",#REF!)</f>
        <v>#REF!</v>
      </c>
    </row>
    <row r="18" spans="1:19" x14ac:dyDescent="0.25">
      <c r="A18" s="19" t="s">
        <v>1445</v>
      </c>
      <c r="B18" s="19"/>
      <c r="C18" s="18" t="s">
        <v>1444</v>
      </c>
      <c r="E18" s="17" t="s">
        <v>639</v>
      </c>
      <c r="F18" s="17" t="s">
        <v>1443</v>
      </c>
      <c r="I18" s="17" t="s">
        <v>480</v>
      </c>
      <c r="K18" s="17" t="s">
        <v>480</v>
      </c>
      <c r="O18" s="17" t="str">
        <f>CONCATENATE("var js",Table13[[#This Row],[ID]]," = document.getElementbyId('",Table13[[#This Row],[ID]],"').innerHTML; //  ",Table13[[#This Row],[Site]])</f>
        <v>var jsTA017 = document.getElementbyId('TA017').innerHTML; //  Find a Yellow Ribbon school</v>
      </c>
      <c r="P18" s="17">
        <f ca="1">CONCATENATE("        &lt;!--",A18," - ",C18," --&gt;&lt;div class='column catAll",IF(I18="X"," catArmySites",""),IF(J18="X"," catCombatReadiness",""),IF(K18="X"," catDod",""),IF(M18="X"," catFamily",""),IF(N18="X"," catFinance",""),IF(O18="X"," catHealth",""),IF(P18="X"," catHuman",""),IF(Q18="X"," catLegal",""),IF(R18="X"," catProDev",""),IF(S18="X"," catTech",""),IF(T18="X"," catMilEd",""),IF(U18="X"," catCivEd",""),IF(V18="X"," catUsGov",""),"' style='margin-bottom: 0px;' id='",F18,"'&gt;&lt;a href='",C18,"' rel='noopener noreferrer' class='column hideMarquee'&gt;&lt;div class='armyCardContainer card'&gt;&lt;div class='armyCard'&gt;&lt;div&gt;&lt;p class='marquee'&gt;",D18,"&lt;/p&gt;",IF(H18="Yes","&lt;img src='assets/CaCRequired.png' title='A CAC is required to use some or all features of this site!' Class='cacLocked'&gt;",""),IF(G18="Yes","&lt;img src='assets/DODlock.png' title='This Site requires a DoD network connection to be used!' Class='dodLocked'&gt;",""),"&lt;img src='assets/",#REF!,"' class='cardImage' loading='lazy'&gt;&lt;/div&gt;&lt;div class='title'&gt;&lt;span&gt;",A18,"&lt;/span&gt;&lt;/div&gt;&lt;/div&gt;&lt;/div&gt;&lt;/a&gt;&lt;/div&gt;&lt;script&gt;var js",F18," = document.getElementById('",F18,"').innerHTML;&lt;/script&gt;")</f>
        <v>0</v>
      </c>
      <c r="Q18" s="17" t="str">
        <f t="shared" si="0"/>
        <v xml:space="preserve">    &lt;details class='noSpacing'&gt;&lt;!-- Find a Yellow Ribbon school - https://www.va.gov/education/yellow-ribbon-participating-schools --&gt;
      &lt;summary&gt;• &lt;a href='https://www.va.gov/education/yellow-ribbon-participating-schools' rel='noopener noreferrer'&gt;Find a Yellow Ribbon school - https://www.va.gov/education/yellow-ribbon-participating-schools&lt;/a&gt;&lt;/summary&gt;
      &lt;p&gt;&lt;/p&gt;
    &lt;/details&gt;</v>
      </c>
      <c r="R18" s="17" t="e">
        <f>CONCATENATE("          &lt;!-- ",#REF!," - ",#REF!," --&gt;&lt;div id='drag",#REF!,"' class='catAll",IF(#REF!="X"," catArmySites",""),IF(A18="X"," catCombatReadiness",""),IF(B18="X"," catDod",""),IF(C18="X"," catFamily",""),IF(#REF!="X"," catFinance",""),IF(D18="X"," catHealth",""),IF(F18="X"," catHuman",""),IF(G18="X"," catLegal",""),IF(H18="X"," catProDev",""),IF(I18="X"," catTech",""),IF(J18="X"," catMilEd",""),IF(K18="X"," catCivEd",""),IF(M18="X","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8" s="17" t="e">
        <f>CONCATENATE("var js",#REF!," = document.getElementbyId('drag",#REF!,"').innerHTML; //  ",#REF!)</f>
        <v>#REF!</v>
      </c>
    </row>
    <row r="19" spans="1:19" x14ac:dyDescent="0.25">
      <c r="A19" s="19" t="s">
        <v>1442</v>
      </c>
      <c r="B19" s="19"/>
      <c r="C19" s="18" t="s">
        <v>1441</v>
      </c>
      <c r="E19" s="17" t="s">
        <v>639</v>
      </c>
      <c r="F19" s="17" t="s">
        <v>1440</v>
      </c>
      <c r="I19" s="17" t="s">
        <v>480</v>
      </c>
      <c r="K19" s="17" t="s">
        <v>480</v>
      </c>
      <c r="O19" s="17" t="str">
        <f>CONCATENATE("var js",Table13[[#This Row],[ID]]," = document.getElementbyId('",Table13[[#This Row],[ID]],"').innerHTML; //  ",Table13[[#This Row],[Site]])</f>
        <v>var jsTA018 = document.getElementbyId('TA018').innerHTML; //  GI Bill Comparison Tool</v>
      </c>
      <c r="P19" s="17">
        <f ca="1">CONCATENATE("        &lt;!--",A19," - ",C19," --&gt;&lt;div class='column catAll",IF(I19="X"," catArmySites",""),IF(J19="X"," catCombatReadiness",""),IF(K19="X"," catDod",""),IF(M19="X"," catFamily",""),IF(N19="X"," catFinance",""),IF(O19="X"," catHealth",""),IF(P19="X"," catHuman",""),IF(Q19="X"," catLegal",""),IF(R19="X"," catProDev",""),IF(S19="X"," catTech",""),IF(T19="X"," catMilEd",""),IF(U19="X"," catCivEd",""),IF(V19="X"," catUsGov",""),"' style='margin-bottom: 0px;' id='",F19,"'&gt;&lt;a href='",C19,"' rel='noopener noreferrer' class='column hideMarquee'&gt;&lt;div class='armyCardContainer card'&gt;&lt;div class='armyCard'&gt;&lt;div&gt;&lt;p class='marquee'&gt;",D19,"&lt;/p&gt;",IF(H19="Yes","&lt;img src='assets/CaCRequired.png' title='A CAC is required to use some or all features of this site!' Class='cacLocked'&gt;",""),IF(G19="Yes","&lt;img src='assets/DODlock.png' title='This Site requires a DoD network connection to be used!' Class='dodLocked'&gt;",""),"&lt;img src='assets/",#REF!,"' class='cardImage' loading='lazy'&gt;&lt;/div&gt;&lt;div class='title'&gt;&lt;span&gt;",A19,"&lt;/span&gt;&lt;/div&gt;&lt;/div&gt;&lt;/div&gt;&lt;/a&gt;&lt;/div&gt;&lt;script&gt;var js",F19," = document.getElementById('",F19,"').innerHTML;&lt;/script&gt;")</f>
        <v>0</v>
      </c>
      <c r="Q19" s="17" t="str">
        <f t="shared" si="0"/>
        <v xml:space="preserve">    &lt;details class='noSpacing'&gt;&lt;!-- GI Bill Comparison Tool - https://www.va.gov/gi-bill-comparison-tool --&gt;
      &lt;summary&gt;• &lt;a href='https://www.va.gov/gi-bill-comparison-tool' rel='noopener noreferrer'&gt;GI Bill Comparison Tool - https://www.va.gov/gi-bill-comparison-tool&lt;/a&gt;&lt;/summary&gt;
      &lt;p&gt;&lt;/p&gt;
    &lt;/details&gt;</v>
      </c>
      <c r="R19" s="17" t="e">
        <f>CONCATENATE("          &lt;!-- ",#REF!," - ",#REF!," --&gt;&lt;div id='drag",#REF!,"' class='catAll",IF(#REF!="X"," catArmySites",""),IF(A19="X"," catCombatReadiness",""),IF(B19="X"," catDod",""),IF(C19="X"," catFamily",""),IF(#REF!="X"," catFinance",""),IF(D19="X"," catHealth",""),IF(F19="X"," catHuman",""),IF(G19="X"," catLegal",""),IF(H19="X"," catProDev",""),IF(I19="X"," catTech",""),IF(J19="X"," catMilEd",""),IF(K19="X"," catCivEd",""),IF(M19="X","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9" s="17" t="e">
        <f>CONCATENATE("var js",#REF!," = document.getElementbyId('drag",#REF!,"').innerHTML; //  ",#REF!)</f>
        <v>#REF!</v>
      </c>
    </row>
    <row r="20" spans="1:19" x14ac:dyDescent="0.25">
      <c r="A20" s="19" t="s">
        <v>1439</v>
      </c>
      <c r="B20" s="19"/>
      <c r="C20" s="18" t="s">
        <v>1438</v>
      </c>
      <c r="D20" s="17" t="s">
        <v>1125</v>
      </c>
      <c r="E20" s="17" t="s">
        <v>639</v>
      </c>
      <c r="F20" s="17" t="s">
        <v>1437</v>
      </c>
      <c r="G20" s="17" t="s">
        <v>480</v>
      </c>
      <c r="H20" s="17" t="s">
        <v>480</v>
      </c>
      <c r="I20" s="17" t="s">
        <v>480</v>
      </c>
      <c r="O20" s="17" t="str">
        <f>CONCATENATE("var js",Table13[[#This Row],[ID]]," = document.getElementbyId('",Table13[[#This Row],[ID]],"').innerHTML; //  ",Table13[[#This Row],[Site]])</f>
        <v>var jsTA019 = document.getElementbyId('TA019').innerHTML; //  Health Care for Re-entry Veterans Services and Resources</v>
      </c>
      <c r="P20" s="17">
        <f ca="1">CONCATENATE("        &lt;!--",A20," - ",C20," --&gt;&lt;div class='column catAll",IF(I20="X"," catArmySites",""),IF(J20="X"," catCombatReadiness",""),IF(K20="X"," catDod",""),IF(M20="X"," catFamily",""),IF(N20="X"," catFinance",""),IF(O20="X"," catHealth",""),IF(P20="X"," catHuman",""),IF(Q20="X"," catLegal",""),IF(R20="X"," catProDev",""),IF(S20="X"," catTech",""),IF(T20="X"," catMilEd",""),IF(U20="X"," catCivEd",""),IF(V20="X"," catUsGov",""),"' style='margin-bottom: 0px;' id='",F20,"'&gt;&lt;a href='",C20,"' rel='noopener noreferrer' class='column hideMarquee'&gt;&lt;div class='armyCardContainer card'&gt;&lt;div class='armyCard'&gt;&lt;div&gt;&lt;p class='marquee'&gt;",D20,"&lt;/p&gt;",IF(H20="Yes","&lt;img src='assets/CaCRequired.png' title='A CAC is required to use some or all features of this site!' Class='cacLocked'&gt;",""),IF(G20="Yes","&lt;img src='assets/DODlock.png' title='This Site requires a DoD network connection to be used!' Class='dodLocked'&gt;",""),"&lt;img src='assets/",#REF!,"' class='cardImage' loading='lazy'&gt;&lt;/div&gt;&lt;div class='title'&gt;&lt;span&gt;",A20,"&lt;/span&gt;&lt;/div&gt;&lt;/div&gt;&lt;/div&gt;&lt;/a&gt;&lt;/div&gt;&lt;script&gt;var js",F20," = document.getElementById('",F20,"').innerHTML;&lt;/script&gt;")</f>
        <v>0</v>
      </c>
      <c r="Q20" s="17" t="str">
        <f t="shared" si="0"/>
        <v xml:space="preserve">    &lt;details class='noSpacing'&gt;&lt;!-- Health Care for Re-entry Veterans Services and Resources - https://www.VA.gov/homeless/reentry.asp --&gt;
      &lt;summary&gt;• &lt;a href='https://www.VA.gov/homeless/reentry.asp' rel='noopener noreferrer'&gt;Health Care for Re-entry Veterans Services and Resources - https://www.VA.gov/homeless/reentry.asp&lt;/a&gt;&lt;/summary&gt;
      &lt;p&gt;Help justice invovled veterans to access VA programs and services and re-engage after incarceration&lt;/p&gt;
    &lt;/details&gt;</v>
      </c>
      <c r="R20" s="17" t="e">
        <f>CONCATENATE("          &lt;!-- ",#REF!," - ",#REF!," --&gt;&lt;div id='drag",#REF!,"' class='catAll",IF(#REF!="X"," catArmySites",""),IF(A20="X"," catCombatReadiness",""),IF(B20="X"," catDod",""),IF(C20="X"," catFamily",""),IF(#REF!="X"," catFinance",""),IF(D20="X"," catHealth",""),IF(F20="X"," catHuman",""),IF(G20="X"," catLegal",""),IF(H20="X"," catProDev",""),IF(I20="X"," catTech",""),IF(J20="X"," catMilEd",""),IF(K20="X"," catCivEd",""),IF(M20="X","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0" s="17" t="e">
        <f>CONCATENATE("var js",#REF!," = document.getElementbyId('drag",#REF!,"').innerHTML; //  ",#REF!)</f>
        <v>#REF!</v>
      </c>
    </row>
    <row r="21" spans="1:19" x14ac:dyDescent="0.25">
      <c r="A21" s="19" t="s">
        <v>1436</v>
      </c>
      <c r="B21" s="19"/>
      <c r="C21" s="18" t="s">
        <v>1435</v>
      </c>
      <c r="E21" s="17" t="s">
        <v>639</v>
      </c>
      <c r="F21" s="17" t="s">
        <v>1434</v>
      </c>
      <c r="I21" s="17" t="s">
        <v>480</v>
      </c>
      <c r="M21" s="17" t="s">
        <v>480</v>
      </c>
      <c r="O21" s="17" t="str">
        <f>CONCATENATE("var js",Table13[[#This Row],[ID]]," = document.getElementbyId('",Table13[[#This Row],[ID]],"').innerHTML; //  ",Table13[[#This Row],[Site]])</f>
        <v>var jsTA020 = document.getElementbyId('TA020').innerHTML; //  Honor a Veteran or Reservist with memorial item</v>
      </c>
      <c r="P21" s="17">
        <f ca="1">CONCATENATE("        &lt;!--",A21," - ",C21," --&gt;&lt;div class='column catAll",IF(I21="X"," catArmySites",""),IF(J21="X"," catCombatReadiness",""),IF(K21="X"," catDod",""),IF(M21="X"," catFamily",""),IF(N21="X"," catFinance",""),IF(O21="X"," catHealth",""),IF(P21="X"," catHuman",""),IF(Q21="X"," catLegal",""),IF(R21="X"," catProDev",""),IF(S21="X"," catTech",""),IF(T21="X"," catMilEd",""),IF(U21="X"," catCivEd",""),IF(V21="X"," catUsGov",""),"' style='margin-bottom: 0px;' id='",F21,"'&gt;&lt;a href='",C21,"' rel='noopener noreferrer' class='column hideMarquee'&gt;&lt;div class='armyCardContainer card'&gt;&lt;div class='armyCard'&gt;&lt;div&gt;&lt;p class='marquee'&gt;",D21,"&lt;/p&gt;",IF(H21="Yes","&lt;img src='assets/CaCRequired.png' title='A CAC is required to use some or all features of this site!' Class='cacLocked'&gt;",""),IF(G21="Yes","&lt;img src='assets/DODlock.png' title='This Site requires a DoD network connection to be used!' Class='dodLocked'&gt;",""),"&lt;img src='assets/",#REF!,"' class='cardImage' loading='lazy'&gt;&lt;/div&gt;&lt;div class='title'&gt;&lt;span&gt;",A21,"&lt;/span&gt;&lt;/div&gt;&lt;/div&gt;&lt;/div&gt;&lt;/a&gt;&lt;/div&gt;&lt;script&gt;var js",F21," = document.getElementById('",F21,"').innerHTML;&lt;/script&gt;")</f>
        <v>0</v>
      </c>
      <c r="Q21" s="17" t="str">
        <f t="shared" si="0"/>
        <v xml:space="preserve">    &lt;details class='noSpacing'&gt;&lt;!-- Honor a Veteran or Reservist with memorial item - https://www.va.gov/burials-memorials/memorial-items --&gt;
      &lt;summary&gt;• &lt;a href='https://www.va.gov/burials-memorials/memorial-items' rel='noopener noreferrer'&gt;Honor a Veteran or Reservist with memorial item - https://www.va.gov/burials-memorials/memorial-items&lt;/a&gt;&lt;/summary&gt;
      &lt;p&gt;&lt;/p&gt;
    &lt;/details&gt;</v>
      </c>
      <c r="R21" s="17" t="e">
        <f>CONCATENATE("          &lt;!-- ",#REF!," - ",#REF!," --&gt;&lt;div id='drag",#REF!,"' class='catAll",IF(#REF!="X"," catArmySites",""),IF(A21="X"," catCombatReadiness",""),IF(B21="X"," catDod",""),IF(C21="X"," catFamily",""),IF(#REF!="X"," catFinance",""),IF(D21="X"," catHealth",""),IF(F21="X"," catHuman",""),IF(G21="X"," catLegal",""),IF(H21="X"," catProDev",""),IF(I21="X"," catTech",""),IF(J21="X"," catMilEd",""),IF(K21="X"," catCivEd",""),IF(M21="X","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1" s="17" t="e">
        <f>CONCATENATE("var js",#REF!," = document.getElementbyId('drag",#REF!,"').innerHTML; //  ",#REF!)</f>
        <v>#REF!</v>
      </c>
    </row>
    <row r="22" spans="1:19" x14ac:dyDescent="0.25">
      <c r="A22" s="19" t="s">
        <v>1433</v>
      </c>
      <c r="B22" s="19"/>
      <c r="C22" s="18" t="s">
        <v>1432</v>
      </c>
      <c r="E22" s="17" t="s">
        <v>639</v>
      </c>
      <c r="F22" s="17" t="s">
        <v>1431</v>
      </c>
      <c r="I22" s="17" t="s">
        <v>480</v>
      </c>
      <c r="N22" s="17" t="s">
        <v>480</v>
      </c>
      <c r="O22" s="17" t="str">
        <f>CONCATENATE("var js",Table13[[#This Row],[ID]]," = document.getElementbyId('",Table13[[#This Row],[ID]],"').innerHTML; //  ",Table13[[#This Row],[Site]])</f>
        <v>var jsTA021 = document.getElementbyId('TA021').innerHTML; //  How to Apply for a Discharge Upgrade</v>
      </c>
      <c r="P22" s="17">
        <f ca="1">CONCATENATE("        &lt;!--",A22," - ",C22," --&gt;&lt;div class='column catAll",IF(I22="X"," catArmySites",""),IF(J22="X"," catCombatReadiness",""),IF(K22="X"," catDod",""),IF(M22="X"," catFamily",""),IF(N22="X"," catFinance",""),IF(O22="X"," catHealth",""),IF(P22="X"," catHuman",""),IF(Q22="X"," catLegal",""),IF(R22="X"," catProDev",""),IF(S22="X"," catTech",""),IF(T22="X"," catMilEd",""),IF(U22="X"," catCivEd",""),IF(V22="X"," catUsGov",""),"' style='margin-bottom: 0px;' id='",F22,"'&gt;&lt;a href='",C22,"' rel='noopener noreferrer' class='column hideMarquee'&gt;&lt;div class='armyCardContainer card'&gt;&lt;div class='armyCard'&gt;&lt;div&gt;&lt;p class='marquee'&gt;",D22,"&lt;/p&gt;",IF(H22="Yes","&lt;img src='assets/CaCRequired.png' title='A CAC is required to use some or all features of this site!' Class='cacLocked'&gt;",""),IF(G22="Yes","&lt;img src='assets/DODlock.png' title='This Site requires a DoD network connection to be used!' Class='dodLocked'&gt;",""),"&lt;img src='assets/",#REF!,"' class='cardImage' loading='lazy'&gt;&lt;/div&gt;&lt;div class='title'&gt;&lt;span&gt;",A22,"&lt;/span&gt;&lt;/div&gt;&lt;/div&gt;&lt;/div&gt;&lt;/a&gt;&lt;/div&gt;&lt;script&gt;var js",F22," = document.getElementById('",F22,"').innerHTML;&lt;/script&gt;")</f>
        <v>0</v>
      </c>
      <c r="Q22" s="17" t="str">
        <f t="shared" si="0"/>
        <v xml:space="preserve">    &lt;details class='noSpacing'&gt;&lt;!-- How to Apply for a Discharge Upgrade - https://www.va.gov/discharge-upgrade-instructions --&gt;
      &lt;summary&gt;• &lt;a href='https://www.va.gov/discharge-upgrade-instructions' rel='noopener noreferrer'&gt;How to Apply for a Discharge Upgrade - https://www.va.gov/discharge-upgrade-instructions&lt;/a&gt;&lt;/summary&gt;
      &lt;p&gt;&lt;/p&gt;
    &lt;/details&gt;</v>
      </c>
      <c r="R22" s="17" t="e">
        <f>CONCATENATE("          &lt;!-- ",#REF!," - ",#REF!," --&gt;&lt;div id='drag",#REF!,"' class='catAll",IF(#REF!="X"," catArmySites",""),IF(A22="X"," catCombatReadiness",""),IF(B22="X"," catDod",""),IF(C22="X"," catFamily",""),IF(#REF!="X"," catFinance",""),IF(D22="X"," catHealth",""),IF(F22="X"," catHuman",""),IF(G22="X"," catLegal",""),IF(H22="X"," catProDev",""),IF(I22="X"," catTech",""),IF(J22="X"," catMilEd",""),IF(K22="X"," catCivEd",""),IF(M22="X","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2" s="17" t="e">
        <f>CONCATENATE("var js",#REF!," = document.getElementbyId('drag",#REF!,"').innerHTML; //  ",#REF!)</f>
        <v>#REF!</v>
      </c>
    </row>
    <row r="23" spans="1:19" x14ac:dyDescent="0.25">
      <c r="A23" s="19" t="s">
        <v>1430</v>
      </c>
      <c r="B23" s="19"/>
      <c r="C23" s="18" t="s">
        <v>1429</v>
      </c>
      <c r="E23" s="17" t="s">
        <v>639</v>
      </c>
      <c r="F23" s="17" t="s">
        <v>1428</v>
      </c>
      <c r="I23" s="17" t="s">
        <v>480</v>
      </c>
      <c r="N23" s="17" t="s">
        <v>480</v>
      </c>
      <c r="O23" s="17" t="str">
        <f>CONCATENATE("var js",Table13[[#This Row],[ID]]," = document.getElementbyId('",Table13[[#This Row],[ID]],"').innerHTML; //  ",Table13[[#This Row],[Site]])</f>
        <v>var jsTA022 = document.getElementbyId('TA022').innerHTML; //  How to apply for VA health care</v>
      </c>
      <c r="P23" s="17">
        <f ca="1">CONCATENATE("        &lt;!--",A23," - ",C23," --&gt;&lt;div class='column catAll",IF(I23="X"," catArmySites",""),IF(J23="X"," catCombatReadiness",""),IF(K23="X"," catDod",""),IF(M23="X"," catFamily",""),IF(N23="X"," catFinance",""),IF(O23="X"," catHealth",""),IF(P23="X"," catHuman",""),IF(Q23="X"," catLegal",""),IF(R23="X"," catProDev",""),IF(S23="X"," catTech",""),IF(T23="X"," catMilEd",""),IF(U23="X"," catCivEd",""),IF(V23="X"," catUsGov",""),"' style='margin-bottom: 0px;' id='",F23,"'&gt;&lt;a href='",C23,"' rel='noopener noreferrer' class='column hideMarquee'&gt;&lt;div class='armyCardContainer card'&gt;&lt;div class='armyCard'&gt;&lt;div&gt;&lt;p class='marquee'&gt;",D23,"&lt;/p&gt;",IF(H23="Yes","&lt;img src='assets/CaCRequired.png' title='A CAC is required to use some or all features of this site!' Class='cacLocked'&gt;",""),IF(G23="Yes","&lt;img src='assets/DODlock.png' title='This Site requires a DoD network connection to be used!' Class='dodLocked'&gt;",""),"&lt;img src='assets/",#REF!,"' class='cardImage' loading='lazy'&gt;&lt;/div&gt;&lt;div class='title'&gt;&lt;span&gt;",A23,"&lt;/span&gt;&lt;/div&gt;&lt;/div&gt;&lt;/div&gt;&lt;/a&gt;&lt;/div&gt;&lt;script&gt;var js",F23," = document.getElementById('",F23,"').innerHTML;&lt;/script&gt;")</f>
        <v>0</v>
      </c>
      <c r="Q23" s="17" t="str">
        <f t="shared" si="0"/>
        <v xml:space="preserve">    &lt;details class='noSpacing'&gt;&lt;!-- How to apply for VA health care - https://www.va.gov/health-care/how-to-apply --&gt;
      &lt;summary&gt;• &lt;a href='https://www.va.gov/health-care/how-to-apply' rel='noopener noreferrer'&gt;How to apply for VA health care - https://www.va.gov/health-care/how-to-apply&lt;/a&gt;&lt;/summary&gt;
      &lt;p&gt;&lt;/p&gt;
    &lt;/details&gt;</v>
      </c>
      <c r="R23" s="17" t="e">
        <f>CONCATENATE("          &lt;!-- ",#REF!," - ",#REF!," --&gt;&lt;div id='drag",#REF!,"' class='catAll",IF(#REF!="X"," catArmySites",""),IF(A23="X"," catCombatReadiness",""),IF(B23="X"," catDod",""),IF(C23="X"," catFamily",""),IF(#REF!="X"," catFinance",""),IF(D23="X"," catHealth",""),IF(F23="X"," catHuman",""),IF(G23="X"," catLegal",""),IF(H23="X"," catProDev",""),IF(I23="X"," catTech",""),IF(J23="X"," catMilEd",""),IF(K23="X"," catCivEd",""),IF(M23="X","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3" s="17" t="e">
        <f>CONCATENATE("var js",#REF!," = document.getElementbyId('drag",#REF!,"').innerHTML; //  ",#REF!)</f>
        <v>#REF!</v>
      </c>
    </row>
    <row r="24" spans="1:19" x14ac:dyDescent="0.25">
      <c r="A24" s="19" t="s">
        <v>1427</v>
      </c>
      <c r="B24" s="19"/>
      <c r="C24" s="18" t="s">
        <v>1426</v>
      </c>
      <c r="E24" s="17" t="s">
        <v>639</v>
      </c>
      <c r="F24" s="17" t="s">
        <v>1425</v>
      </c>
      <c r="G24" s="17" t="s">
        <v>480</v>
      </c>
      <c r="I24" s="17" t="s">
        <v>480</v>
      </c>
      <c r="O24" s="17" t="str">
        <f>CONCATENATE("var js",Table13[[#This Row],[ID]]," = document.getElementbyId('",Table13[[#This Row],[ID]],"').innerHTML; //  ",Table13[[#This Row],[Site]])</f>
        <v>var jsTA023 = document.getElementbyId('TA023').innerHTML; //  Income limits and your VA health care</v>
      </c>
      <c r="P24" s="17">
        <f ca="1">CONCATENATE("        &lt;!--",A24," - ",C24," --&gt;&lt;div class='column catAll",IF(I24="X"," catArmySites",""),IF(J24="X"," catCombatReadiness",""),IF(K24="X"," catDod",""),IF(M24="X"," catFamily",""),IF(N24="X"," catFinance",""),IF(O24="X"," catHealth",""),IF(P24="X"," catHuman",""),IF(Q24="X"," catLegal",""),IF(R24="X"," catProDev",""),IF(S24="X"," catTech",""),IF(T24="X"," catMilEd",""),IF(U24="X"," catCivEd",""),IF(V24="X"," catUsGov",""),"' style='margin-bottom: 0px;' id='",F24,"'&gt;&lt;a href='",C24,"' rel='noopener noreferrer' class='column hideMarquee'&gt;&lt;div class='armyCardContainer card'&gt;&lt;div class='armyCard'&gt;&lt;div&gt;&lt;p class='marquee'&gt;",D24,"&lt;/p&gt;",IF(H24="Yes","&lt;img src='assets/CaCRequired.png' title='A CAC is required to use some or all features of this site!' Class='cacLocked'&gt;",""),IF(G24="Yes","&lt;img src='assets/DODlock.png' title='This Site requires a DoD network connection to be used!' Class='dodLocked'&gt;",""),"&lt;img src='assets/",#REF!,"' class='cardImage' loading='lazy'&gt;&lt;/div&gt;&lt;div class='title'&gt;&lt;span&gt;",A24,"&lt;/span&gt;&lt;/div&gt;&lt;/div&gt;&lt;/div&gt;&lt;/a&gt;&lt;/div&gt;&lt;script&gt;var js",F24," = document.getElementById('",F24,"').innerHTML;&lt;/script&gt;")</f>
        <v>0</v>
      </c>
      <c r="Q24" s="17" t="str">
        <f t="shared" si="0"/>
        <v xml:space="preserve">    &lt;details class='noSpacing'&gt;&lt;!-- Income limits and your VA health care - https://www.VA.gov/healthbenefits/apps/explorer --&gt;
      &lt;summary&gt;• &lt;a href='https://www.VA.gov/healthbenefits/apps/explorer' rel='noopener noreferrer'&gt;Income limits and your VA health care - https://www.VA.gov/healthbenefits/apps/explorer&lt;/a&gt;&lt;/summary&gt;
      &lt;p&gt;&lt;/p&gt;
    &lt;/details&gt;</v>
      </c>
      <c r="R24" s="17" t="e">
        <f>CONCATENATE("          &lt;!-- ",#REF!," - ",#REF!," --&gt;&lt;div id='drag",#REF!,"' class='catAll",IF(#REF!="X"," catArmySites",""),IF(A24="X"," catCombatReadiness",""),IF(B24="X"," catDod",""),IF(C24="X"," catFamily",""),IF(#REF!="X"," catFinance",""),IF(D24="X"," catHealth",""),IF(F24="X"," catHuman",""),IF(G24="X"," catLegal",""),IF(H24="X"," catProDev",""),IF(I24="X"," catTech",""),IF(J24="X"," catMilEd",""),IF(K24="X"," catCivEd",""),IF(M24="X","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4" s="17" t="e">
        <f>CONCATENATE("var js",#REF!," = document.getElementbyId('drag",#REF!,"').innerHTML; //  ",#REF!)</f>
        <v>#REF!</v>
      </c>
    </row>
    <row r="25" spans="1:19" x14ac:dyDescent="0.25">
      <c r="A25" s="19" t="s">
        <v>1424</v>
      </c>
      <c r="B25" s="19"/>
      <c r="C25" s="18" t="s">
        <v>1423</v>
      </c>
      <c r="E25" s="17" t="s">
        <v>639</v>
      </c>
      <c r="F25" s="17" t="s">
        <v>1422</v>
      </c>
      <c r="I25" s="17" t="s">
        <v>480</v>
      </c>
      <c r="M25" s="17" t="s">
        <v>480</v>
      </c>
      <c r="O25" s="17" t="str">
        <f>CONCATENATE("var js",Table13[[#This Row],[ID]]," = document.getElementbyId('",Table13[[#This Row],[ID]],"').innerHTML; //  ",Table13[[#This Row],[Site]])</f>
        <v>var jsTA024 = document.getElementbyId('TA024').innerHTML; //  Integrated Disability Evaluation System (IDES)</v>
      </c>
      <c r="P25" s="17">
        <f ca="1">CONCATENATE("        &lt;!--",A25," - ",C25," --&gt;&lt;div class='column catAll",IF(I25="X"," catArmySites",""),IF(J25="X"," catCombatReadiness",""),IF(K25="X"," catDod",""),IF(M25="X"," catFamily",""),IF(N25="X"," catFinance",""),IF(O25="X"," catHealth",""),IF(P25="X"," catHuman",""),IF(Q25="X"," catLegal",""),IF(R25="X"," catProDev",""),IF(S25="X"," catTech",""),IF(T25="X"," catMilEd",""),IF(U25="X"," catCivEd",""),IF(V25="X"," catUsGov",""),"' style='margin-bottom: 0px;' id='",F25,"'&gt;&lt;a href='",C25,"' rel='noopener noreferrer' class='column hideMarquee'&gt;&lt;div class='armyCardContainer card'&gt;&lt;div class='armyCard'&gt;&lt;div&gt;&lt;p class='marquee'&gt;",D25,"&lt;/p&gt;",IF(H25="Yes","&lt;img src='assets/CaCRequired.png' title='A CAC is required to use some or all features of this site!' Class='cacLocked'&gt;",""),IF(G25="Yes","&lt;img src='assets/DODlock.png' title='This Site requires a DoD network connection to be used!' Class='dodLocked'&gt;",""),"&lt;img src='assets/",#REF!,"' class='cardImage' loading='lazy'&gt;&lt;/div&gt;&lt;div class='title'&gt;&lt;span&gt;",A25,"&lt;/span&gt;&lt;/div&gt;&lt;/div&gt;&lt;/div&gt;&lt;/a&gt;&lt;/div&gt;&lt;script&gt;var js",F25," = document.getElementById('",F25,"').innerHTML;&lt;/script&gt;")</f>
        <v>0</v>
      </c>
      <c r="Q25" s="17" t="str">
        <f t="shared" si="0"/>
        <v xml:space="preserve">    &lt;details class='noSpacing'&gt;&lt;!-- Integrated Disability Evaluation System (IDES) - https://benefits.va.gov/predischarge/disability-exams.asp --&gt;
      &lt;summary&gt;• &lt;a href='https://benefits.va.gov/predischarge/disability-exams.asp' rel='noopener noreferrer'&gt;Integrated Disability Evaluation System (IDES) - https://benefits.va.gov/predischarge/disability-exams.asp&lt;/a&gt;&lt;/summary&gt;
      &lt;p&gt;&lt;/p&gt;
    &lt;/details&gt;</v>
      </c>
      <c r="R25" s="17" t="e">
        <f>CONCATENATE("          &lt;!-- ",#REF!," - ",#REF!," --&gt;&lt;div id='drag",#REF!,"' class='catAll",IF(#REF!="X"," catArmySites",""),IF(A25="X"," catCombatReadiness",""),IF(B25="X"," catDod",""),IF(C25="X"," catFamily",""),IF(#REF!="X"," catFinance",""),IF(D25="X"," catHealth",""),IF(F25="X"," catHuman",""),IF(G25="X"," catLegal",""),IF(H25="X"," catProDev",""),IF(I25="X"," catTech",""),IF(J25="X"," catMilEd",""),IF(K25="X"," catCivEd",""),IF(M25="X","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5" s="17" t="e">
        <f>CONCATENATE("var js",#REF!," = document.getElementbyId('drag",#REF!,"').innerHTML; //  ",#REF!)</f>
        <v>#REF!</v>
      </c>
    </row>
    <row r="26" spans="1:19" x14ac:dyDescent="0.25">
      <c r="A26" s="19" t="s">
        <v>1421</v>
      </c>
      <c r="B26" s="19"/>
      <c r="C26" s="18" t="s">
        <v>1420</v>
      </c>
      <c r="E26" s="17" t="s">
        <v>639</v>
      </c>
      <c r="F26" s="17" t="s">
        <v>1419</v>
      </c>
      <c r="G26" s="17" t="s">
        <v>480</v>
      </c>
      <c r="I26" s="17" t="s">
        <v>480</v>
      </c>
      <c r="O26" s="17" t="str">
        <f>CONCATENATE("var js",Table13[[#This Row],[ID]]," = document.getElementbyId('",Table13[[#This Row],[ID]],"').innerHTML; //  ",Table13[[#This Row],[Site]])</f>
        <v>var jsTA025 = document.getElementbyId('TA025').innerHTML; //  Intimate Partner Violence Assistance Program (IPVAP)</v>
      </c>
      <c r="P26" s="17">
        <f ca="1">CONCATENATE("        &lt;!--",A26," - ",C26," --&gt;&lt;div class='column catAll",IF(I26="X"," catArmySites",""),IF(J26="X"," catCombatReadiness",""),IF(K26="X"," catDod",""),IF(M26="X"," catFamily",""),IF(N26="X"," catFinance",""),IF(O26="X"," catHealth",""),IF(P26="X"," catHuman",""),IF(Q26="X"," catLegal",""),IF(R26="X"," catProDev",""),IF(S26="X"," catTech",""),IF(T26="X"," catMilEd",""),IF(U26="X"," catCivEd",""),IF(V26="X"," catUsGov",""),"' style='margin-bottom: 0px;' id='",F26,"'&gt;&lt;a href='",C26,"' rel='noopener noreferrer' class='column hideMarquee'&gt;&lt;div class='armyCardContainer card'&gt;&lt;div class='armyCard'&gt;&lt;div&gt;&lt;p class='marquee'&gt;",D26,"&lt;/p&gt;",IF(H26="Yes","&lt;img src='assets/CaCRequired.png' title='A CAC is required to use some or all features of this site!' Class='cacLocked'&gt;",""),IF(G26="Yes","&lt;img src='assets/DODlock.png' title='This Site requires a DoD network connection to be used!' Class='dodLocked'&gt;",""),"&lt;img src='assets/",#REF!,"' class='cardImage' loading='lazy'&gt;&lt;/div&gt;&lt;div class='title'&gt;&lt;span&gt;",A26,"&lt;/span&gt;&lt;/div&gt;&lt;/div&gt;&lt;/div&gt;&lt;/a&gt;&lt;/div&gt;&lt;script&gt;var js",F26," = document.getElementById('",F26,"').innerHTML;&lt;/script&gt;")</f>
        <v>0</v>
      </c>
      <c r="Q26" s="17" t="str">
        <f t="shared" si="0"/>
        <v xml:space="preserve">    &lt;details class='noSpacing'&gt;&lt;!-- Intimate Partner Violence Assistance Program (IPVAP) - https://www.socialwork.va.gov/ipv --&gt;
      &lt;summary&gt;• &lt;a href='https://www.socialwork.va.gov/ipv' rel='noopener noreferrer'&gt;Intimate Partner Violence Assistance Program (IPVAP) - https://www.socialwork.va.gov/ipv&lt;/a&gt;&lt;/summary&gt;
      &lt;p&gt;&lt;/p&gt;
    &lt;/details&gt;</v>
      </c>
      <c r="R26" s="17" t="e">
        <f>CONCATENATE("          &lt;!-- ",#REF!," - ",#REF!," --&gt;&lt;div id='drag",#REF!,"' class='catAll",IF(#REF!="X"," catArmySites",""),IF(A26="X"," catCombatReadiness",""),IF(B26="X"," catDod",""),IF(C26="X"," catFamily",""),IF(#REF!="X"," catFinance",""),IF(D26="X"," catHealth",""),IF(F26="X"," catHuman",""),IF(G26="X"," catLegal",""),IF(H26="X"," catProDev",""),IF(I26="X"," catTech",""),IF(J26="X"," catMilEd",""),IF(K26="X"," catCivEd",""),IF(M26="X","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6" s="17" t="e">
        <f>CONCATENATE("var js",#REF!," = document.getElementbyId('drag",#REF!,"').innerHTML; //  ",#REF!)</f>
        <v>#REF!</v>
      </c>
    </row>
    <row r="27" spans="1:19" x14ac:dyDescent="0.25">
      <c r="A27" s="19" t="s">
        <v>1418</v>
      </c>
      <c r="B27" s="19"/>
      <c r="C27" s="18" t="s">
        <v>1417</v>
      </c>
      <c r="E27" s="17" t="s">
        <v>639</v>
      </c>
      <c r="F27" s="17" t="s">
        <v>1416</v>
      </c>
      <c r="J27" s="17" t="s">
        <v>480</v>
      </c>
      <c r="O27" s="17" t="str">
        <f>CONCATENATE("var js",Table13[[#This Row],[ID]]," = document.getElementbyId('",Table13[[#This Row],[ID]],"').innerHTML; //  ",Table13[[#This Row],[Site]])</f>
        <v>var jsTA026 = document.getElementbyId('TA026').innerHTML; //  Its My Career</v>
      </c>
      <c r="P27" s="17">
        <f ca="1">CONCATENATE("        &lt;!--",A27," - ",C27," --&gt;&lt;div class='column catAll",IF(I27="X"," catArmySites",""),IF(J27="X"," catCombatReadiness",""),IF(K27="X"," catDod",""),IF(M27="X"," catFamily",""),IF(N27="X"," catFinance",""),IF(O27="X"," catHealth",""),IF(P27="X"," catHuman",""),IF(Q27="X"," catLegal",""),IF(R27="X"," catProDev",""),IF(S27="X"," catTech",""),IF(T27="X"," catMilEd",""),IF(U27="X"," catCivEd",""),IF(V27="X"," catUsGov",""),"' style='margin-bottom: 0px;' id='",F27,"'&gt;&lt;a href='",C27,"' rel='noopener noreferrer' class='column hideMarquee'&gt;&lt;div class='armyCardContainer card'&gt;&lt;div class='armyCard'&gt;&lt;div&gt;&lt;p class='marquee'&gt;",D27,"&lt;/p&gt;",IF(H27="Yes","&lt;img src='assets/CaCRequired.png' title='A CAC is required to use some or all features of this site!' Class='cacLocked'&gt;",""),IF(G27="Yes","&lt;img src='assets/DODlock.png' title='This Site requires a DoD network connection to be used!' Class='dodLocked'&gt;",""),"&lt;img src='assets/",#REF!,"' class='cardImage' loading='lazy'&gt;&lt;/div&gt;&lt;div class='title'&gt;&lt;span&gt;",A27,"&lt;/span&gt;&lt;/div&gt;&lt;/div&gt;&lt;/div&gt;&lt;/a&gt;&lt;/div&gt;&lt;script&gt;var js",F27," = document.getElementById('",F27,"').innerHTML;&lt;/script&gt;")</f>
        <v>0</v>
      </c>
      <c r="Q27" s="17" t="str">
        <f t="shared" si="0"/>
        <v xml:space="preserve">    &lt;details class='noSpacing'&gt;&lt;!-- Its My Career - https://worksource.itsmycareer.com --&gt;
      &lt;summary&gt;• &lt;a href='https://worksource.itsmycareer.com' rel='noopener noreferrer'&gt;Its My Career - https://worksource.itsmycareer.com&lt;/a&gt;&lt;/summary&gt;
      &lt;p&gt;&lt;/p&gt;
    &lt;/details&gt;</v>
      </c>
      <c r="R27" s="17" t="e">
        <f>CONCATENATE("          &lt;!-- ",#REF!," - ",#REF!," --&gt;&lt;div id='drag",#REF!,"' class='catAll",IF(#REF!="X"," catArmySites",""),IF(A27="X"," catCombatReadiness",""),IF(B27="X"," catDod",""),IF(C27="X"," catFamily",""),IF(#REF!="X"," catFinance",""),IF(D27="X"," catHealth",""),IF(F27="X"," catHuman",""),IF(G27="X"," catLegal",""),IF(H27="X"," catProDev",""),IF(I27="X"," catTech",""),IF(J27="X"," catMilEd",""),IF(K27="X"," catCivEd",""),IF(M27="X","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7" s="17" t="e">
        <f>CONCATENATE("var js",#REF!," = document.getElementbyId('drag",#REF!,"').innerHTML; //  ",#REF!)</f>
        <v>#REF!</v>
      </c>
    </row>
    <row r="28" spans="1:19" x14ac:dyDescent="0.25">
      <c r="A28" s="19" t="s">
        <v>1415</v>
      </c>
      <c r="B28" s="19"/>
      <c r="C28" s="18" t="s">
        <v>1414</v>
      </c>
      <c r="E28" s="17" t="s">
        <v>639</v>
      </c>
      <c r="F28" s="17" t="s">
        <v>1413</v>
      </c>
      <c r="J28" s="17" t="s">
        <v>480</v>
      </c>
      <c r="O28" s="17" t="str">
        <f>CONCATENATE("var js",Table13[[#This Row],[ID]]," = document.getElementbyId('",Table13[[#This Row],[ID]],"').innerHTML; //  ",Table13[[#This Row],[Site]])</f>
        <v>var jsTA027 = document.getElementbyId('TA027').innerHTML; //  LinkedIN</v>
      </c>
      <c r="P28" s="17">
        <f ca="1">CONCATENATE("        &lt;!--",A28," - ",C28," --&gt;&lt;div class='column catAll",IF(I28="X"," catArmySites",""),IF(J28="X"," catCombatReadiness",""),IF(K28="X"," catDod",""),IF(M28="X"," catFamily",""),IF(N28="X"," catFinance",""),IF(O28="X"," catHealth",""),IF(P28="X"," catHuman",""),IF(Q28="X"," catLegal",""),IF(R28="X"," catProDev",""),IF(S28="X"," catTech",""),IF(T28="X"," catMilEd",""),IF(U28="X"," catCivEd",""),IF(V28="X"," catUsGov",""),"' style='margin-bottom: 0px;' id='",F28,"'&gt;&lt;a href='",C28,"' rel='noopener noreferrer' class='column hideMarquee'&gt;&lt;div class='armyCardContainer card'&gt;&lt;div class='armyCard'&gt;&lt;div&gt;&lt;p class='marquee'&gt;",D28,"&lt;/p&gt;",IF(H28="Yes","&lt;img src='assets/CaCRequired.png' title='A CAC is required to use some or all features of this site!' Class='cacLocked'&gt;",""),IF(G28="Yes","&lt;img src='assets/DODlock.png' title='This Site requires a DoD network connection to be used!' Class='dodLocked'&gt;",""),"&lt;img src='assets/",#REF!,"' class='cardImage' loading='lazy'&gt;&lt;/div&gt;&lt;div class='title'&gt;&lt;span&gt;",A28,"&lt;/span&gt;&lt;/div&gt;&lt;/div&gt;&lt;/div&gt;&lt;/a&gt;&lt;/div&gt;&lt;script&gt;var js",F28," = document.getElementById('",F28,"').innerHTML;&lt;/script&gt;")</f>
        <v>0</v>
      </c>
      <c r="Q28" s="17" t="str">
        <f t="shared" si="0"/>
        <v xml:space="preserve">    &lt;details class='noSpacing'&gt;&lt;!-- LinkedIN - https://linkedin.com --&gt;
      &lt;summary&gt;• &lt;a href='https://linkedin.com' rel='noopener noreferrer'&gt;LinkedIN - https://linkedin.com&lt;/a&gt;&lt;/summary&gt;
      &lt;p&gt;&lt;/p&gt;
    &lt;/details&gt;</v>
      </c>
      <c r="R28" s="17" t="e">
        <f>CONCATENATE("          &lt;!-- ",#REF!," - ",#REF!," --&gt;&lt;div id='drag",#REF!,"' class='catAll",IF(#REF!="X"," catArmySites",""),IF(A28="X"," catCombatReadiness",""),IF(B28="X"," catDod",""),IF(C28="X"," catFamily",""),IF(#REF!="X"," catFinance",""),IF(D28="X"," catHealth",""),IF(F28="X"," catHuman",""),IF(G28="X"," catLegal",""),IF(H28="X"," catProDev",""),IF(I28="X"," catTech",""),IF(J28="X"," catMilEd",""),IF(K28="X"," catCivEd",""),IF(M28="X","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8" s="17" t="e">
        <f>CONCATENATE("var js",#REF!," = document.getElementbyId('drag",#REF!,"').innerHTML; //  ",#REF!)</f>
        <v>#REF!</v>
      </c>
    </row>
    <row r="29" spans="1:19" x14ac:dyDescent="0.25">
      <c r="A29" s="19" t="s">
        <v>1412</v>
      </c>
      <c r="B29" s="19"/>
      <c r="C29" s="18" t="s">
        <v>1411</v>
      </c>
      <c r="E29" s="17" t="s">
        <v>639</v>
      </c>
      <c r="F29" s="17" t="s">
        <v>1410</v>
      </c>
      <c r="G29" s="17" t="s">
        <v>480</v>
      </c>
      <c r="I29" s="17" t="s">
        <v>480</v>
      </c>
      <c r="O29" s="17" t="str">
        <f>CONCATENATE("var js",Table13[[#This Row],[ID]]," = document.getElementbyId('",Table13[[#This Row],[ID]],"').innerHTML; //  ",Table13[[#This Row],[Site]])</f>
        <v>var jsTA028 = document.getElementbyId('TA028').innerHTML; //  Mental Health - Suicide Prevention</v>
      </c>
      <c r="P29" s="17">
        <f ca="1">CONCATENATE("        &lt;!--",A29," - ",C29," --&gt;&lt;div class='column catAll",IF(I29="X"," catArmySites",""),IF(J29="X"," catCombatReadiness",""),IF(K29="X"," catDod",""),IF(M29="X"," catFamily",""),IF(N29="X"," catFinance",""),IF(O29="X"," catHealth",""),IF(P29="X"," catHuman",""),IF(Q29="X"," catLegal",""),IF(R29="X"," catProDev",""),IF(S29="X"," catTech",""),IF(T29="X"," catMilEd",""),IF(U29="X"," catCivEd",""),IF(V29="X"," catUsGov",""),"' style='margin-bottom: 0px;' id='",F29,"'&gt;&lt;a href='",C29,"' rel='noopener noreferrer' class='column hideMarquee'&gt;&lt;div class='armyCardContainer card'&gt;&lt;div class='armyCard'&gt;&lt;div&gt;&lt;p class='marquee'&gt;",D29,"&lt;/p&gt;",IF(H29="Yes","&lt;img src='assets/CaCRequired.png' title='A CAC is required to use some or all features of this site!' Class='cacLocked'&gt;",""),IF(G29="Yes","&lt;img src='assets/DODlock.png' title='This Site requires a DoD network connection to be used!' Class='dodLocked'&gt;",""),"&lt;img src='assets/",#REF!,"' class='cardImage' loading='lazy'&gt;&lt;/div&gt;&lt;div class='title'&gt;&lt;span&gt;",A29,"&lt;/span&gt;&lt;/div&gt;&lt;/div&gt;&lt;/div&gt;&lt;/a&gt;&lt;/div&gt;&lt;script&gt;var js",F29," = document.getElementById('",F29,"').innerHTML;&lt;/script&gt;")</f>
        <v>0</v>
      </c>
      <c r="Q29" s="17" t="str">
        <f t="shared" si="0"/>
        <v xml:space="preserve">    &lt;details class='noSpacing'&gt;&lt;!-- Mental Health - Suicide Prevention - https://www.mentalhealth.va.gov/suicide_prevention --&gt;
      &lt;summary&gt;• &lt;a href='https://www.mentalhealth.va.gov/suicide_prevention' rel='noopener noreferrer'&gt;Mental Health - Suicide Prevention - https://www.mentalhealth.va.gov/suicide_prevention&lt;/a&gt;&lt;/summary&gt;
      &lt;p&gt;&lt;/p&gt;
    &lt;/details&gt;</v>
      </c>
      <c r="R29" s="17" t="e">
        <f>CONCATENATE("          &lt;!-- ",#REF!," - ",#REF!," --&gt;&lt;div id='drag",#REF!,"' class='catAll",IF(#REF!="X"," catArmySites",""),IF(A29="X"," catCombatReadiness",""),IF(B29="X"," catDod",""),IF(C29="X"," catFamily",""),IF(#REF!="X"," catFinance",""),IF(D29="X"," catHealth",""),IF(F29="X"," catHuman",""),IF(G29="X"," catLegal",""),IF(H29="X"," catProDev",""),IF(I29="X"," catTech",""),IF(J29="X"," catMilEd",""),IF(K29="X"," catCivEd",""),IF(M29="X","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29" s="17" t="e">
        <f>CONCATENATE("var js",#REF!," = document.getElementbyId('drag",#REF!,"').innerHTML; //  ",#REF!)</f>
        <v>#REF!</v>
      </c>
    </row>
    <row r="30" spans="1:19" x14ac:dyDescent="0.25">
      <c r="A30" s="19" t="s">
        <v>1409</v>
      </c>
      <c r="B30" s="19"/>
      <c r="C30" s="18" t="s">
        <v>1408</v>
      </c>
      <c r="E30" s="17" t="s">
        <v>639</v>
      </c>
      <c r="F30" s="17" t="s">
        <v>1407</v>
      </c>
      <c r="G30" s="17" t="s">
        <v>480</v>
      </c>
      <c r="I30" s="17" t="s">
        <v>480</v>
      </c>
      <c r="O30" s="17" t="str">
        <f>CONCATENATE("var js",Table13[[#This Row],[ID]]," = document.getElementbyId('",Table13[[#This Row],[ID]],"').innerHTML; //  ",Table13[[#This Row],[Site]])</f>
        <v>var jsTA029 = document.getElementbyId('TA029').innerHTML; //  Mental Health - Women Veterans</v>
      </c>
      <c r="P30" s="17">
        <f ca="1">CONCATENATE("        &lt;!--",A30," - ",C30," --&gt;&lt;div class='column catAll",IF(I30="X"," catArmySites",""),IF(J30="X"," catCombatReadiness",""),IF(K30="X"," catDod",""),IF(M30="X"," catFamily",""),IF(N30="X"," catFinance",""),IF(O30="X"," catHealth",""),IF(P30="X"," catHuman",""),IF(Q30="X"," catLegal",""),IF(R30="X"," catProDev",""),IF(S30="X"," catTech",""),IF(T30="X"," catMilEd",""),IF(U30="X"," catCivEd",""),IF(V30="X"," catUsGov",""),"' style='margin-bottom: 0px;' id='",F30,"'&gt;&lt;a href='",C30,"' rel='noopener noreferrer' class='column hideMarquee'&gt;&lt;div class='armyCardContainer card'&gt;&lt;div class='armyCard'&gt;&lt;div&gt;&lt;p class='marquee'&gt;",D30,"&lt;/p&gt;",IF(H30="Yes","&lt;img src='assets/CaCRequired.png' title='A CAC is required to use some or all features of this site!' Class='cacLocked'&gt;",""),IF(G30="Yes","&lt;img src='assets/DODlock.png' title='This Site requires a DoD network connection to be used!' Class='dodLocked'&gt;",""),"&lt;img src='assets/",#REF!,"' class='cardImage' loading='lazy'&gt;&lt;/div&gt;&lt;div class='title'&gt;&lt;span&gt;",A30,"&lt;/span&gt;&lt;/div&gt;&lt;/div&gt;&lt;/div&gt;&lt;/a&gt;&lt;/div&gt;&lt;script&gt;var js",F30," = document.getElementById('",F30,"').innerHTML;&lt;/script&gt;")</f>
        <v>0</v>
      </c>
      <c r="Q30" s="17" t="str">
        <f t="shared" si="0"/>
        <v xml:space="preserve">    &lt;details class='noSpacing'&gt;&lt;!-- Mental Health - Women Veterans - https://www.mentalhealth.va.gov/mentalhealth/women-vets --&gt;
      &lt;summary&gt;• &lt;a href='https://www.mentalhealth.va.gov/mentalhealth/women-vets' rel='noopener noreferrer'&gt;Mental Health - Women Veterans - https://www.mentalhealth.va.gov/mentalhealth/women-vets&lt;/a&gt;&lt;/summary&gt;
      &lt;p&gt;&lt;/p&gt;
    &lt;/details&gt;</v>
      </c>
      <c r="R30" s="17" t="e">
        <f>CONCATENATE("          &lt;!-- ",#REF!," - ",#REF!," --&gt;&lt;div id='drag",#REF!,"' class='catAll",IF(#REF!="X"," catArmySites",""),IF(A30="X"," catCombatReadiness",""),IF(B30="X"," catDod",""),IF(C30="X"," catFamily",""),IF(#REF!="X"," catFinance",""),IF(D30="X"," catHealth",""),IF(F30="X"," catHuman",""),IF(G30="X"," catLegal",""),IF(H30="X"," catProDev",""),IF(I30="X"," catTech",""),IF(J30="X"," catMilEd",""),IF(K30="X"," catCivEd",""),IF(M30="X","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0" s="17" t="e">
        <f>CONCATENATE("var js",#REF!," = document.getElementbyId('drag",#REF!,"').innerHTML; //  ",#REF!)</f>
        <v>#REF!</v>
      </c>
    </row>
    <row r="31" spans="1:19" x14ac:dyDescent="0.25">
      <c r="A31" s="19" t="s">
        <v>1406</v>
      </c>
      <c r="B31" s="19"/>
      <c r="C31" s="18" t="s">
        <v>252</v>
      </c>
      <c r="E31" s="17" t="s">
        <v>639</v>
      </c>
      <c r="F31" s="17" t="s">
        <v>1405</v>
      </c>
      <c r="K31" s="17" t="s">
        <v>480</v>
      </c>
      <c r="M31" s="17" t="s">
        <v>480</v>
      </c>
      <c r="O31" s="17" t="str">
        <f>CONCATENATE("var js",Table13[[#This Row],[ID]]," = document.getElementbyId('",Table13[[#This Row],[ID]],"').innerHTML; //  ",Table13[[#This Row],[Site]])</f>
        <v>var jsTA030 = document.getElementbyId('TA030').innerHTML; //  Milconnect</v>
      </c>
      <c r="P31" s="17">
        <f ca="1">CONCATENATE("        &lt;!--",A31," - ",C31," --&gt;&lt;div class='column catAll",IF(I31="X"," catArmySites",""),IF(J31="X"," catCombatReadiness",""),IF(K31="X"," catDod",""),IF(M31="X"," catFamily",""),IF(N31="X"," catFinance",""),IF(O31="X"," catHealth",""),IF(P31="X"," catHuman",""),IF(Q31="X"," catLegal",""),IF(R31="X"," catProDev",""),IF(S31="X"," catTech",""),IF(T31="X"," catMilEd",""),IF(U31="X"," catCivEd",""),IF(V31="X"," catUsGov",""),"' style='margin-bottom: 0px;' id='",F31,"'&gt;&lt;a href='",C31,"' rel='noopener noreferrer' class='column hideMarquee'&gt;&lt;div class='armyCardContainer card'&gt;&lt;div class='armyCard'&gt;&lt;div&gt;&lt;p class='marquee'&gt;",D31,"&lt;/p&gt;",IF(H31="Yes","&lt;img src='assets/CaCRequired.png' title='A CAC is required to use some or all features of this site!' Class='cacLocked'&gt;",""),IF(G31="Yes","&lt;img src='assets/DODlock.png' title='This Site requires a DoD network connection to be used!' Class='dodLocked'&gt;",""),"&lt;img src='assets/",#REF!,"' class='cardImage' loading='lazy'&gt;&lt;/div&gt;&lt;div class='title'&gt;&lt;span&gt;",A31,"&lt;/span&gt;&lt;/div&gt;&lt;/div&gt;&lt;/div&gt;&lt;/a&gt;&lt;/div&gt;&lt;script&gt;var js",F31," = document.getElementById('",F31,"').innerHTML;&lt;/script&gt;")</f>
        <v>0</v>
      </c>
      <c r="Q31" s="17" t="str">
        <f t="shared" si="0"/>
        <v xml:space="preserve">    &lt;details class='noSpacing'&gt;&lt;!-- Milconnect - https://milconnect.dmdc.osd.mil/milconnect/ --&gt;
      &lt;summary&gt;• &lt;a href='https://milconnect.dmdc.osd.mil/milconnect/' rel='noopener noreferrer'&gt;Milconnect - https://milconnect.dmdc.osd.mil/milconnect/&lt;/a&gt;&lt;/summary&gt;
      &lt;p&gt;&lt;/p&gt;
    &lt;/details&gt;</v>
      </c>
      <c r="R31" s="17" t="e">
        <f>CONCATENATE("          &lt;!-- ",#REF!," - ",#REF!," --&gt;&lt;div id='drag",#REF!,"' class='catAll",IF(#REF!="X"," catArmySites",""),IF(A31="X"," catCombatReadiness",""),IF(B31="X"," catDod",""),IF(C31="X"," catFamily",""),IF(#REF!="X"," catFinance",""),IF(D31="X"," catHealth",""),IF(F31="X"," catHuman",""),IF(G31="X"," catLegal",""),IF(H31="X"," catProDev",""),IF(I31="X"," catTech",""),IF(J31="X"," catMilEd",""),IF(K31="X"," catCivEd",""),IF(M31="X","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1" s="17" t="e">
        <f>CONCATENATE("var js",#REF!," = document.getElementbyId('drag",#REF!,"').innerHTML; //  ",#REF!)</f>
        <v>#REF!</v>
      </c>
    </row>
    <row r="32" spans="1:19" x14ac:dyDescent="0.25">
      <c r="A32" s="19" t="s">
        <v>1404</v>
      </c>
      <c r="B32" s="19"/>
      <c r="C32" s="18" t="s">
        <v>1403</v>
      </c>
      <c r="E32" s="17" t="s">
        <v>639</v>
      </c>
      <c r="F32" s="17" t="s">
        <v>1402</v>
      </c>
      <c r="H32" s="17" t="s">
        <v>18</v>
      </c>
      <c r="O32" s="17" t="str">
        <f>CONCATENATE("var js",Table13[[#This Row],[ID]]," = document.getElementbyId('",Table13[[#This Row],[ID]],"').innerHTML; //  ",Table13[[#This Row],[Site]])</f>
        <v>var jsTA031 = document.getElementbyId('TA031').innerHTML; //  Military One Source</v>
      </c>
      <c r="P32" s="17">
        <f ca="1">CONCATENATE("        &lt;!--",A32," - ",C32," --&gt;&lt;div class='column catAll",IF(I32="X"," catArmySites",""),IF(J32="X"," catCombatReadiness",""),IF(K32="X"," catDod",""),IF(M32="X"," catFamily",""),IF(N32="X"," catFinance",""),IF(O32="X"," catHealth",""),IF(P32="X"," catHuman",""),IF(Q32="X"," catLegal",""),IF(R32="X"," catProDev",""),IF(S32="X"," catTech",""),IF(T32="X"," catMilEd",""),IF(U32="X"," catCivEd",""),IF(V32="X"," catUsGov",""),"' style='margin-bottom: 0px;' id='",F32,"'&gt;&lt;a href='",C32,"' rel='noopener noreferrer' class='column hideMarquee'&gt;&lt;div class='armyCardContainer card'&gt;&lt;div class='armyCard'&gt;&lt;div&gt;&lt;p class='marquee'&gt;",D32,"&lt;/p&gt;",IF(H32="Yes","&lt;img src='assets/CaCRequired.png' title='A CAC is required to use some or all features of this site!' Class='cacLocked'&gt;",""),IF(G32="Yes","&lt;img src='assets/DODlock.png' title='This Site requires a DoD network connection to be used!' Class='dodLocked'&gt;",""),"&lt;img src='assets/",#REF!,"' class='cardImage' loading='lazy'&gt;&lt;/div&gt;&lt;div class='title'&gt;&lt;span&gt;",A32,"&lt;/span&gt;&lt;/div&gt;&lt;/div&gt;&lt;/div&gt;&lt;/a&gt;&lt;/div&gt;&lt;script&gt;var js",F32," = document.getElementById('",F32,"').innerHTML;&lt;/script&gt;")</f>
        <v>0</v>
      </c>
      <c r="Q32" s="17" t="str">
        <f t="shared" si="0"/>
        <v xml:space="preserve">    &lt;details class='noSpacing'&gt;&lt;!-- Military One Source - https://www.militaryonesource.com --&gt;
      &lt;summary&gt;• &lt;a href='https://www.militaryonesource.com' rel='noopener noreferrer'&gt;Military One Source - https://www.militaryonesource.com&lt;/a&gt;&lt;/summary&gt;
      &lt;p&gt;&lt;/p&gt;
    &lt;/details&gt;</v>
      </c>
      <c r="R32" s="17" t="e">
        <f>CONCATENATE("          &lt;!-- ",#REF!," - ",#REF!," --&gt;&lt;div id='drag",#REF!,"' class='catAll",IF(#REF!="X"," catArmySites",""),IF(A32="X"," catCombatReadiness",""),IF(B32="X"," catDod",""),IF(C32="X"," catFamily",""),IF(#REF!="X"," catFinance",""),IF(D32="X"," catHealth",""),IF(F32="X"," catHuman",""),IF(G32="X"," catLegal",""),IF(H32="X"," catProDev",""),IF(I32="X"," catTech",""),IF(J32="X"," catMilEd",""),IF(K32="X"," catCivEd",""),IF(M32="X","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2" s="17" t="e">
        <f>CONCATENATE("var js",#REF!," = document.getElementbyId('drag",#REF!,"').innerHTML; //  ",#REF!)</f>
        <v>#REF!</v>
      </c>
    </row>
    <row r="33" spans="1:19" x14ac:dyDescent="0.25">
      <c r="A33" s="19" t="s">
        <v>1401</v>
      </c>
      <c r="B33" s="19"/>
      <c r="C33" s="18" t="s">
        <v>1400</v>
      </c>
      <c r="E33" s="17" t="s">
        <v>639</v>
      </c>
      <c r="F33" s="17" t="s">
        <v>1399</v>
      </c>
      <c r="G33" s="17" t="s">
        <v>480</v>
      </c>
      <c r="I33" s="17" t="s">
        <v>480</v>
      </c>
      <c r="O33" s="17" t="str">
        <f>CONCATENATE("var js",Table13[[#This Row],[ID]]," = document.getElementbyId('",Table13[[#This Row],[ID]],"').innerHTML; //  ",Table13[[#This Row],[Site]])</f>
        <v>var jsTA032 = document.getElementbyId('TA032').innerHTML; //  Military Sexual Trauma</v>
      </c>
      <c r="P33" s="17">
        <f ca="1">CONCATENATE("        &lt;!--",A33," - ",C33," --&gt;&lt;div class='column catAll",IF(I33="X"," catArmySites",""),IF(J33="X"," catCombatReadiness",""),IF(K33="X"," catDod",""),IF(M33="X"," catFamily",""),IF(N33="X"," catFinance",""),IF(O33="X"," catHealth",""),IF(P33="X"," catHuman",""),IF(Q33="X"," catLegal",""),IF(R33="X"," catProDev",""),IF(S33="X"," catTech",""),IF(T33="X"," catMilEd",""),IF(U33="X"," catCivEd",""),IF(V33="X"," catUsGov",""),"' style='margin-bottom: 0px;' id='",F33,"'&gt;&lt;a href='",C33,"' rel='noopener noreferrer' class='column hideMarquee'&gt;&lt;div class='armyCardContainer card'&gt;&lt;div class='armyCard'&gt;&lt;div&gt;&lt;p class='marquee'&gt;",D33,"&lt;/p&gt;",IF(H33="Yes","&lt;img src='assets/CaCRequired.png' title='A CAC is required to use some or all features of this site!' Class='cacLocked'&gt;",""),IF(G33="Yes","&lt;img src='assets/DODlock.png' title='This Site requires a DoD network connection to be used!' Class='dodLocked'&gt;",""),"&lt;img src='assets/",#REF!,"' class='cardImage' loading='lazy'&gt;&lt;/div&gt;&lt;div class='title'&gt;&lt;span&gt;",A33,"&lt;/span&gt;&lt;/div&gt;&lt;/div&gt;&lt;/div&gt;&lt;/a&gt;&lt;/div&gt;&lt;script&gt;var js",F33," = document.getElementById('",F33,"').innerHTML;&lt;/script&gt;")</f>
        <v>0</v>
      </c>
      <c r="Q33" s="17" t="str">
        <f t="shared" si="0"/>
        <v xml:space="preserve">    &lt;details class='noSpacing'&gt;&lt;!-- Military Sexual Trauma - https://www.mentalhealth.va.gov/msthome/index.asp --&gt;
      &lt;summary&gt;• &lt;a href='https://www.mentalhealth.va.gov/msthome/index.asp' rel='noopener noreferrer'&gt;Military Sexual Trauma - https://www.mentalhealth.va.gov/msthome/index.asp&lt;/a&gt;&lt;/summary&gt;
      &lt;p&gt;&lt;/p&gt;
    &lt;/details&gt;</v>
      </c>
      <c r="R33" s="17" t="e">
        <f>CONCATENATE("          &lt;!-- ",#REF!," - ",#REF!," --&gt;&lt;div id='drag",#REF!,"' class='catAll",IF(#REF!="X"," catArmySites",""),IF(A33="X"," catCombatReadiness",""),IF(B33="X"," catDod",""),IF(C33="X"," catFamily",""),IF(#REF!="X"," catFinance",""),IF(D33="X"," catHealth",""),IF(F33="X"," catHuman",""),IF(G33="X"," catLegal",""),IF(H33="X"," catProDev",""),IF(I33="X"," catTech",""),IF(J33="X"," catMilEd",""),IF(K33="X"," catCivEd",""),IF(M33="X","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3" s="17" t="e">
        <f>CONCATENATE("var js",#REF!," = document.getElementbyId('drag",#REF!,"').innerHTML; //  ",#REF!)</f>
        <v>#REF!</v>
      </c>
    </row>
    <row r="34" spans="1:19" x14ac:dyDescent="0.25">
      <c r="A34" s="19" t="s">
        <v>1398</v>
      </c>
      <c r="B34" s="19"/>
      <c r="C34" s="18" t="s">
        <v>1397</v>
      </c>
      <c r="E34" s="17" t="s">
        <v>639</v>
      </c>
      <c r="F34" s="17" t="s">
        <v>1396</v>
      </c>
      <c r="I34" s="17" t="s">
        <v>480</v>
      </c>
      <c r="O34" s="17" t="str">
        <f>CONCATENATE("var js",Table13[[#This Row],[ID]]," = document.getElementbyId('",Table13[[#This Row],[ID]],"').innerHTML; //  ",Table13[[#This Row],[Site]])</f>
        <v>var jsTA033 = document.getElementbyId('TA033').innerHTML; //  Military Sexual Trauma Coordinators</v>
      </c>
      <c r="P34" s="17">
        <f ca="1">CONCATENATE("        &lt;!--",A34," - ",C34," --&gt;&lt;div class='column catAll",IF(I34="X"," catArmySites",""),IF(J34="X"," catCombatReadiness",""),IF(K34="X"," catDod",""),IF(M34="X"," catFamily",""),IF(N34="X"," catFinance",""),IF(O34="X"," catHealth",""),IF(P34="X"," catHuman",""),IF(Q34="X"," catLegal",""),IF(R34="X"," catProDev",""),IF(S34="X"," catTech",""),IF(T34="X"," catMilEd",""),IF(U34="X"," catCivEd",""),IF(V34="X"," catUsGov",""),"' style='margin-bottom: 0px;' id='",F34,"'&gt;&lt;a href='",C34,"' rel='noopener noreferrer' class='column hideMarquee'&gt;&lt;div class='armyCardContainer card'&gt;&lt;div class='armyCard'&gt;&lt;div&gt;&lt;p class='marquee'&gt;",D34,"&lt;/p&gt;",IF(H34="Yes","&lt;img src='assets/CaCRequired.png' title='A CAC is required to use some or all features of this site!' Class='cacLocked'&gt;",""),IF(G34="Yes","&lt;img src='assets/DODlock.png' title='This Site requires a DoD network connection to be used!' Class='dodLocked'&gt;",""),"&lt;img src='assets/",#REF!,"' class='cardImage' loading='lazy'&gt;&lt;/div&gt;&lt;div class='title'&gt;&lt;span&gt;",A34,"&lt;/span&gt;&lt;/div&gt;&lt;/div&gt;&lt;/div&gt;&lt;/a&gt;&lt;/div&gt;&lt;script&gt;var js",F34," = document.getElementById('",F34,"').innerHTML;&lt;/script&gt;")</f>
        <v>0</v>
      </c>
      <c r="Q34" s="17" t="str">
        <f t="shared" ref="Q34:Q65" si="1">CONCATENATE("    &lt;details class='noSpacing'&gt;&lt;!-- ",A34," - ",C34," --&gt;
      &lt;summary&gt;• &lt;a href='",C34,"' rel='noopener noreferrer'&gt;",A34," - ",C34,"&lt;/a&gt;&lt;/summary&gt;
      &lt;p&gt;",D34,"&lt;/p&gt;
    &lt;/details&gt;")</f>
        <v xml:space="preserve">    &lt;details class='noSpacing'&gt;&lt;!-- Military Sexual Trauma Coordinators - https://www.benefits.va.gov/benefits/mstcoordinators.asp --&gt;
      &lt;summary&gt;• &lt;a href='https://www.benefits.va.gov/benefits/mstcoordinators.asp' rel='noopener noreferrer'&gt;Military Sexual Trauma Coordinators - https://www.benefits.va.gov/benefits/mstcoordinators.asp&lt;/a&gt;&lt;/summary&gt;
      &lt;p&gt;&lt;/p&gt;
    &lt;/details&gt;</v>
      </c>
      <c r="R34" s="17" t="e">
        <f>CONCATENATE("          &lt;!-- ",#REF!," - ",#REF!," --&gt;&lt;div id='drag",#REF!,"' class='catAll",IF(#REF!="X"," catArmySites",""),IF(A34="X"," catCombatReadiness",""),IF(B34="X"," catDod",""),IF(C34="X"," catFamily",""),IF(#REF!="X"," catFinance",""),IF(D34="X"," catHealth",""),IF(F34="X"," catHuman",""),IF(G34="X"," catLegal",""),IF(H34="X"," catProDev",""),IF(I34="X"," catTech",""),IF(J34="X"," catMilEd",""),IF(K34="X"," catCivEd",""),IF(M34="X","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4" s="17" t="e">
        <f>CONCATENATE("var js",#REF!," = document.getElementbyId('drag",#REF!,"').innerHTML; //  ",#REF!)</f>
        <v>#REF!</v>
      </c>
    </row>
    <row r="35" spans="1:19" x14ac:dyDescent="0.25">
      <c r="A35" s="19" t="s">
        <v>1395</v>
      </c>
      <c r="B35" s="19"/>
      <c r="C35" s="18" t="s">
        <v>1394</v>
      </c>
      <c r="E35" s="17" t="s">
        <v>639</v>
      </c>
      <c r="F35" s="17" t="s">
        <v>1393</v>
      </c>
      <c r="I35" s="17" t="s">
        <v>480</v>
      </c>
      <c r="K35" s="17" t="s">
        <v>480</v>
      </c>
      <c r="O35" s="17" t="str">
        <f>CONCATENATE("var js",Table13[[#This Row],[ID]]," = document.getElementbyId('",Table13[[#This Row],[ID]],"').innerHTML; //  ",Table13[[#This Row],[Site]])</f>
        <v>var jsTA034 = document.getElementbyId('TA034').innerHTML; //  Montgomery GI Bill Buy-Up program rates</v>
      </c>
      <c r="P35" s="17">
        <f ca="1">CONCATENATE("        &lt;!--",A35," - ",C35," --&gt;&lt;div class='column catAll",IF(I35="X"," catArmySites",""),IF(J35="X"," catCombatReadiness",""),IF(K35="X"," catDod",""),IF(M35="X"," catFamily",""),IF(N35="X"," catFinance",""),IF(O35="X"," catHealth",""),IF(P35="X"," catHuman",""),IF(Q35="X"," catLegal",""),IF(R35="X"," catProDev",""),IF(S35="X"," catTech",""),IF(T35="X"," catMilEd",""),IF(U35="X"," catCivEd",""),IF(V35="X"," catUsGov",""),"' style='margin-bottom: 0px;' id='",F35,"'&gt;&lt;a href='",C35,"' rel='noopener noreferrer' class='column hideMarquee'&gt;&lt;div class='armyCardContainer card'&gt;&lt;div class='armyCard'&gt;&lt;div&gt;&lt;p class='marquee'&gt;",D35,"&lt;/p&gt;",IF(H35="Yes","&lt;img src='assets/CaCRequired.png' title='A CAC is required to use some or all features of this site!' Class='cacLocked'&gt;",""),IF(G35="Yes","&lt;img src='assets/DODlock.png' title='This Site requires a DoD network connection to be used!' Class='dodLocked'&gt;",""),"&lt;img src='assets/",#REF!,"' class='cardImage' loading='lazy'&gt;&lt;/div&gt;&lt;div class='title'&gt;&lt;span&gt;",A35,"&lt;/span&gt;&lt;/div&gt;&lt;/div&gt;&lt;/div&gt;&lt;/a&gt;&lt;/div&gt;&lt;script&gt;var js",F35," = document.getElementById('",F35,"').innerHTML;&lt;/script&gt;")</f>
        <v>0</v>
      </c>
      <c r="Q35" s="17" t="str">
        <f t="shared" si="1"/>
        <v xml:space="preserve">    &lt;details class='noSpacing'&gt;&lt;!-- Montgomery GI Bill Buy-Up program rates - https://www.va.gov/education/benefit-rates/montgomery-600-buy-up-rates/ --&gt;
      &lt;summary&gt;• &lt;a href='https://www.va.gov/education/benefit-rates/montgomery-600-buy-up-rates/' rel='noopener noreferrer'&gt;Montgomery GI Bill Buy-Up program rates - https://www.va.gov/education/benefit-rates/montgomery-600-buy-up-rates/&lt;/a&gt;&lt;/summary&gt;
      &lt;p&gt;&lt;/p&gt;
    &lt;/details&gt;</v>
      </c>
      <c r="R35" s="17" t="e">
        <f>CONCATENATE("          &lt;!-- ",#REF!," - ",#REF!," --&gt;&lt;div id='drag",#REF!,"' class='catAll",IF(#REF!="X"," catArmySites",""),IF(A35="X"," catCombatReadiness",""),IF(B35="X"," catDod",""),IF(C35="X"," catFamily",""),IF(#REF!="X"," catFinance",""),IF(D35="X"," catHealth",""),IF(F35="X"," catHuman",""),IF(G35="X"," catLegal",""),IF(H35="X"," catProDev",""),IF(I35="X"," catTech",""),IF(J35="X"," catMilEd",""),IF(K35="X"," catCivEd",""),IF(M35="X","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5" s="17" t="e">
        <f>CONCATENATE("var js",#REF!," = document.getElementbyId('drag",#REF!,"').innerHTML; //  ",#REF!)</f>
        <v>#REF!</v>
      </c>
    </row>
    <row r="36" spans="1:19" x14ac:dyDescent="0.25">
      <c r="A36" s="19" t="s">
        <v>1392</v>
      </c>
      <c r="B36" s="19"/>
      <c r="C36" s="18" t="s">
        <v>1391</v>
      </c>
      <c r="E36" s="17" t="s">
        <v>639</v>
      </c>
      <c r="F36" s="17" t="s">
        <v>1390</v>
      </c>
      <c r="I36" s="17" t="s">
        <v>480</v>
      </c>
      <c r="K36" s="17" t="s">
        <v>480</v>
      </c>
      <c r="O36" s="17" t="str">
        <f>CONCATENATE("var js",Table13[[#This Row],[ID]]," = document.getElementbyId('",Table13[[#This Row],[ID]],"').innerHTML; //  ",Table13[[#This Row],[Site]])</f>
        <v>var jsTA035 = document.getElementbyId('TA035').innerHTML; //  Montgomery GI Bill Selected Reserve</v>
      </c>
      <c r="P36" s="17">
        <f ca="1">CONCATENATE("        &lt;!--",A36," - ",C36," --&gt;&lt;div class='column catAll",IF(I36="X"," catArmySites",""),IF(J36="X"," catCombatReadiness",""),IF(K36="X"," catDod",""),IF(M36="X"," catFamily",""),IF(N36="X"," catFinance",""),IF(O36="X"," catHealth",""),IF(P36="X"," catHuman",""),IF(Q36="X"," catLegal",""),IF(R36="X"," catProDev",""),IF(S36="X"," catTech",""),IF(T36="X"," catMilEd",""),IF(U36="X"," catCivEd",""),IF(V36="X"," catUsGov",""),"' style='margin-bottom: 0px;' id='",F36,"'&gt;&lt;a href='",C36,"' rel='noopener noreferrer' class='column hideMarquee'&gt;&lt;div class='armyCardContainer card'&gt;&lt;div class='armyCard'&gt;&lt;div&gt;&lt;p class='marquee'&gt;",D36,"&lt;/p&gt;",IF(H36="Yes","&lt;img src='assets/CaCRequired.png' title='A CAC is required to use some or all features of this site!' Class='cacLocked'&gt;",""),IF(G36="Yes","&lt;img src='assets/DODlock.png' title='This Site requires a DoD network connection to be used!' Class='dodLocked'&gt;",""),"&lt;img src='assets/",#REF!,"' class='cardImage' loading='lazy'&gt;&lt;/div&gt;&lt;div class='title'&gt;&lt;span&gt;",A36,"&lt;/span&gt;&lt;/div&gt;&lt;/div&gt;&lt;/div&gt;&lt;/a&gt;&lt;/div&gt;&lt;script&gt;var js",F36," = document.getElementById('",F36,"').innerHTML;&lt;/script&gt;")</f>
        <v>0</v>
      </c>
      <c r="Q36" s="17" t="str">
        <f t="shared" si="1"/>
        <v xml:space="preserve">    &lt;details class='noSpacing'&gt;&lt;!-- Montgomery GI Bill Selected Reserve - https://www.va.gov/education/about-gi-bill-benefits/montgomery-selected-reserve --&gt;
      &lt;summary&gt;• &lt;a href='https://www.va.gov/education/about-gi-bill-benefits/montgomery-selected-reserve' rel='noopener noreferrer'&gt;Montgomery GI Bill Selected Reserve - https://www.va.gov/education/about-gi-bill-benefits/montgomery-selected-reserve&lt;/a&gt;&lt;/summary&gt;
      &lt;p&gt;&lt;/p&gt;
    &lt;/details&gt;</v>
      </c>
      <c r="R36" s="17" t="e">
        <f>CONCATENATE("          &lt;!-- ",#REF!," - ",#REF!," --&gt;&lt;div id='drag",#REF!,"' class='catAll",IF(#REF!="X"," catArmySites",""),IF(A36="X"," catCombatReadiness",""),IF(B36="X"," catDod",""),IF(C36="X"," catFamily",""),IF(#REF!="X"," catFinance",""),IF(D36="X"," catHealth",""),IF(F36="X"," catHuman",""),IF(G36="X"," catLegal",""),IF(H36="X"," catProDev",""),IF(I36="X"," catTech",""),IF(J36="X"," catMilEd",""),IF(K36="X"," catCivEd",""),IF(M36="X","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6" s="17" t="e">
        <f>CONCATENATE("var js",#REF!," = document.getElementbyId('drag",#REF!,"').innerHTML; //  ",#REF!)</f>
        <v>#REF!</v>
      </c>
    </row>
    <row r="37" spans="1:19" x14ac:dyDescent="0.25">
      <c r="A37" s="19" t="s">
        <v>1389</v>
      </c>
      <c r="B37" s="19"/>
      <c r="C37" s="18" t="s">
        <v>1388</v>
      </c>
      <c r="D37" s="17" t="s">
        <v>1387</v>
      </c>
      <c r="E37" s="17" t="s">
        <v>639</v>
      </c>
      <c r="F37" s="17" t="s">
        <v>1386</v>
      </c>
      <c r="G37" s="17" t="s">
        <v>480</v>
      </c>
      <c r="I37" s="17" t="s">
        <v>480</v>
      </c>
      <c r="O37" s="17" t="str">
        <f>CONCATENATE("var js",Table13[[#This Row],[ID]]," = document.getElementbyId('",Table13[[#This Row],[ID]],"').innerHTML; //  ",Table13[[#This Row],[Site]])</f>
        <v>var jsTA036 = document.getElementbyId('TA036').innerHTML; //  My Health Evet</v>
      </c>
      <c r="P37" s="17">
        <f ca="1">CONCATENATE("        &lt;!--",A37," - ",C37," --&gt;&lt;div class='column catAll",IF(I37="X"," catArmySites",""),IF(J37="X"," catCombatReadiness",""),IF(K37="X"," catDod",""),IF(M37="X"," catFamily",""),IF(N37="X"," catFinance",""),IF(O37="X"," catHealth",""),IF(P37="X"," catHuman",""),IF(Q37="X"," catLegal",""),IF(R37="X"," catProDev",""),IF(S37="X"," catTech",""),IF(T37="X"," catMilEd",""),IF(U37="X"," catCivEd",""),IF(V37="X"," catUsGov",""),"' style='margin-bottom: 0px;' id='",F37,"'&gt;&lt;a href='",C37,"' rel='noopener noreferrer' class='column hideMarquee'&gt;&lt;div class='armyCardContainer card'&gt;&lt;div class='armyCard'&gt;&lt;div&gt;&lt;p class='marquee'&gt;",D37,"&lt;/p&gt;",IF(H37="Yes","&lt;img src='assets/CaCRequired.png' title='A CAC is required to use some or all features of this site!' Class='cacLocked'&gt;",""),IF(G37="Yes","&lt;img src='assets/DODlock.png' title='This Site requires a DoD network connection to be used!' Class='dodLocked'&gt;",""),"&lt;img src='assets/",#REF!,"' class='cardImage' loading='lazy'&gt;&lt;/div&gt;&lt;div class='title'&gt;&lt;span&gt;",A37,"&lt;/span&gt;&lt;/div&gt;&lt;/div&gt;&lt;/div&gt;&lt;/a&gt;&lt;/div&gt;&lt;script&gt;var js",F37," = document.getElementById('",F37,"').innerHTML;&lt;/script&gt;")</f>
        <v>0</v>
      </c>
      <c r="Q37" s="17" t="str">
        <f t="shared" si="1"/>
        <v xml:space="preserve">    &lt;details class='noSpacing'&gt;&lt;!-- My Health Evet - https://www.myhealth.VA.gov --&gt;
      &lt;summary&gt;• &lt;a href='https://www.myhealth.VA.gov' rel='noopener noreferrer'&gt;My Health Evet - https://www.myhealth.VA.gov&lt;/a&gt;&lt;/summary&gt;
      &lt;p&gt;health care portal&lt;/p&gt;
    &lt;/details&gt;</v>
      </c>
      <c r="R37" s="17" t="e">
        <f>CONCATENATE("          &lt;!-- ",#REF!," - ",#REF!," --&gt;&lt;div id='drag",#REF!,"' class='catAll",IF(#REF!="X"," catArmySites",""),IF(A37="X"," catCombatReadiness",""),IF(B37="X"," catDod",""),IF(C37="X"," catFamily",""),IF(#REF!="X"," catFinance",""),IF(D37="X"," catHealth",""),IF(F37="X"," catHuman",""),IF(G37="X"," catLegal",""),IF(H37="X"," catProDev",""),IF(I37="X"," catTech",""),IF(J37="X"," catMilEd",""),IF(K37="X"," catCivEd",""),IF(M37="X","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7" s="17" t="e">
        <f>CONCATENATE("var js",#REF!," = document.getElementbyId('drag",#REF!,"').innerHTML; //  ",#REF!)</f>
        <v>#REF!</v>
      </c>
    </row>
    <row r="38" spans="1:19" x14ac:dyDescent="0.25">
      <c r="A38" s="19" t="s">
        <v>1385</v>
      </c>
      <c r="B38" s="19"/>
      <c r="C38" s="18" t="s">
        <v>1384</v>
      </c>
      <c r="E38" s="17" t="s">
        <v>639</v>
      </c>
      <c r="F38" s="17" t="s">
        <v>1383</v>
      </c>
      <c r="G38" s="17" t="s">
        <v>480</v>
      </c>
      <c r="I38" s="17" t="s">
        <v>480</v>
      </c>
      <c r="J38" s="17" t="s">
        <v>480</v>
      </c>
      <c r="O38" s="17" t="str">
        <f>CONCATENATE("var js",Table13[[#This Row],[ID]]," = document.getElementbyId('",Table13[[#This Row],[ID]],"').innerHTML; //  ",Table13[[#This Row],[Site]])</f>
        <v>var jsTA037 = document.getElementbyId('TA037').innerHTML; //  National Center for PTSD</v>
      </c>
      <c r="P38" s="17">
        <f ca="1">CONCATENATE("        &lt;!--",A38," - ",C38," --&gt;&lt;div class='column catAll",IF(I38="X"," catArmySites",""),IF(J38="X"," catCombatReadiness",""),IF(K38="X"," catDod",""),IF(M38="X"," catFamily",""),IF(N38="X"," catFinance",""),IF(O38="X"," catHealth",""),IF(P38="X"," catHuman",""),IF(Q38="X"," catLegal",""),IF(R38="X"," catProDev",""),IF(S38="X"," catTech",""),IF(T38="X"," catMilEd",""),IF(U38="X"," catCivEd",""),IF(V38="X"," catUsGov",""),"' style='margin-bottom: 0px;' id='",F38,"'&gt;&lt;a href='",C38,"' rel='noopener noreferrer' class='column hideMarquee'&gt;&lt;div class='armyCardContainer card'&gt;&lt;div class='armyCard'&gt;&lt;div&gt;&lt;p class='marquee'&gt;",D38,"&lt;/p&gt;",IF(H38="Yes","&lt;img src='assets/CaCRequired.png' title='A CAC is required to use some or all features of this site!' Class='cacLocked'&gt;",""),IF(G38="Yes","&lt;img src='assets/DODlock.png' title='This Site requires a DoD network connection to be used!' Class='dodLocked'&gt;",""),"&lt;img src='assets/",#REF!,"' class='cardImage' loading='lazy'&gt;&lt;/div&gt;&lt;div class='title'&gt;&lt;span&gt;",A38,"&lt;/span&gt;&lt;/div&gt;&lt;/div&gt;&lt;/div&gt;&lt;/a&gt;&lt;/div&gt;&lt;script&gt;var js",F38," = document.getElementById('",F38,"').innerHTML;&lt;/script&gt;")</f>
        <v>0</v>
      </c>
      <c r="Q38" s="17" t="str">
        <f t="shared" si="1"/>
        <v xml:space="preserve">    &lt;details class='noSpacing'&gt;&lt;!-- National Center for PTSD - https://www.ptsd.va.gov --&gt;
      &lt;summary&gt;• &lt;a href='https://www.ptsd.va.gov' rel='noopener noreferrer'&gt;National Center for PTSD - https://www.ptsd.va.gov&lt;/a&gt;&lt;/summary&gt;
      &lt;p&gt;&lt;/p&gt;
    &lt;/details&gt;</v>
      </c>
      <c r="R38" s="17" t="e">
        <f>CONCATENATE("          &lt;!-- ",#REF!," - ",#REF!," --&gt;&lt;div id='drag",#REF!,"' class='catAll",IF(#REF!="X"," catArmySites",""),IF(A38="X"," catCombatReadiness",""),IF(B38="X"," catDod",""),IF(C38="X"," catFamily",""),IF(#REF!="X"," catFinance",""),IF(D38="X"," catHealth",""),IF(F38="X"," catHuman",""),IF(G38="X"," catLegal",""),IF(H38="X"," catProDev",""),IF(I38="X"," catTech",""),IF(J38="X"," catMilEd",""),IF(K38="X"," catCivEd",""),IF(M38="X","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8" s="17" t="e">
        <f>CONCATENATE("var js",#REF!," = document.getElementbyId('drag",#REF!,"').innerHTML; //  ",#REF!)</f>
        <v>#REF!</v>
      </c>
    </row>
    <row r="39" spans="1:19" x14ac:dyDescent="0.25">
      <c r="A39" s="19" t="s">
        <v>1382</v>
      </c>
      <c r="B39" s="19"/>
      <c r="C39" s="18" t="s">
        <v>1381</v>
      </c>
      <c r="D39" s="17" t="s">
        <v>1380</v>
      </c>
      <c r="E39" s="17" t="s">
        <v>639</v>
      </c>
      <c r="F39" s="17" t="s">
        <v>1379</v>
      </c>
      <c r="G39" s="17" t="s">
        <v>480</v>
      </c>
      <c r="I39" s="17" t="s">
        <v>480</v>
      </c>
      <c r="O39" s="17" t="str">
        <f>CONCATENATE("var js",Table13[[#This Row],[ID]]," = document.getElementbyId('",Table13[[#This Row],[ID]],"').innerHTML; //  ",Table13[[#This Row],[Site]])</f>
        <v xml:space="preserve">var jsTA038 = document.getElementbyId('TA038').innerHTML; //  National Guard and Reserve Veterans Affairs </v>
      </c>
      <c r="P39" s="17">
        <f ca="1">CONCATENATE("        &lt;!--",A39," - ",C39," --&gt;&lt;div class='column catAll",IF(I39="X"," catArmySites",""),IF(J39="X"," catCombatReadiness",""),IF(K39="X"," catDod",""),IF(M39="X"," catFamily",""),IF(N39="X"," catFinance",""),IF(O39="X"," catHealth",""),IF(P39="X"," catHuman",""),IF(Q39="X"," catLegal",""),IF(R39="X"," catProDev",""),IF(S39="X"," catTech",""),IF(T39="X"," catMilEd",""),IF(U39="X"," catCivEd",""),IF(V39="X"," catUsGov",""),"' style='margin-bottom: 0px;' id='",F39,"'&gt;&lt;a href='",C39,"' rel='noopener noreferrer' class='column hideMarquee'&gt;&lt;div class='armyCardContainer card'&gt;&lt;div class='armyCard'&gt;&lt;div&gt;&lt;p class='marquee'&gt;",D39,"&lt;/p&gt;",IF(H39="Yes","&lt;img src='assets/CaCRequired.png' title='A CAC is required to use some or all features of this site!' Class='cacLocked'&gt;",""),IF(G39="Yes","&lt;img src='assets/DODlock.png' title='This Site requires a DoD network connection to be used!' Class='dodLocked'&gt;",""),"&lt;img src='assets/",#REF!,"' class='cardImage' loading='lazy'&gt;&lt;/div&gt;&lt;div class='title'&gt;&lt;span&gt;",A39,"&lt;/span&gt;&lt;/div&gt;&lt;/div&gt;&lt;/div&gt;&lt;/a&gt;&lt;/div&gt;&lt;script&gt;var js",F39," = document.getElementById('",F39,"').innerHTML;&lt;/script&gt;")</f>
        <v>0</v>
      </c>
      <c r="Q39" s="17" t="str">
        <f t="shared" si="1"/>
        <v xml:space="preserve">    &lt;details class='noSpacing'&gt;&lt;!-- National Guard and Reserve Veterans Affairs  - https://www.benefits.VA.gov/guardreserve --&gt;
      &lt;summary&gt;• &lt;a href='https://www.benefits.VA.gov/guardreserve' rel='noopener noreferrer'&gt;National Guard and Reserve Veterans Affairs  - https://www.benefits.VA.gov/guardreserve&lt;/a&gt;&lt;/summary&gt;
      &lt;p&gt;VA for National Guard&lt;/p&gt;
    &lt;/details&gt;</v>
      </c>
      <c r="R39" s="17" t="e">
        <f>CONCATENATE("          &lt;!-- ",#REF!," - ",#REF!," --&gt;&lt;div id='drag",#REF!,"' class='catAll",IF(#REF!="X"," catArmySites",""),IF(A39="X"," catCombatReadiness",""),IF(B39="X"," catDod",""),IF(C39="X"," catFamily",""),IF(#REF!="X"," catFinance",""),IF(D39="X"," catHealth",""),IF(F39="X"," catHuman",""),IF(G39="X"," catLegal",""),IF(H39="X"," catProDev",""),IF(I39="X"," catTech",""),IF(J39="X"," catMilEd",""),IF(K39="X"," catCivEd",""),IF(M39="X","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39" s="17" t="e">
        <f>CONCATENATE("var js",#REF!," = document.getElementbyId('drag",#REF!,"').innerHTML; //  ",#REF!)</f>
        <v>#REF!</v>
      </c>
    </row>
    <row r="40" spans="1:19" x14ac:dyDescent="0.25">
      <c r="A40" s="19" t="s">
        <v>1378</v>
      </c>
      <c r="B40" s="19"/>
      <c r="C40" s="18" t="s">
        <v>1377</v>
      </c>
      <c r="E40" s="17" t="s">
        <v>639</v>
      </c>
      <c r="F40" s="17" t="s">
        <v>1376</v>
      </c>
      <c r="H40" s="17" t="s">
        <v>18</v>
      </c>
      <c r="O40" s="17" t="str">
        <f>CONCATENATE("var js",Table13[[#This Row],[ID]]," = document.getElementbyId('",Table13[[#This Row],[ID]],"').innerHTML; //  ",Table13[[#This Row],[Site]])</f>
        <v>var jsTA039 = document.getElementbyId('TA039').innerHTML; //  National Resource Directory</v>
      </c>
      <c r="P40" s="17">
        <f ca="1">CONCATENATE("        &lt;!--",A40," - ",C40," --&gt;&lt;div class='column catAll",IF(I40="X"," catArmySites",""),IF(J40="X"," catCombatReadiness",""),IF(K40="X"," catDod",""),IF(M40="X"," catFamily",""),IF(N40="X"," catFinance",""),IF(O40="X"," catHealth",""),IF(P40="X"," catHuman",""),IF(Q40="X"," catLegal",""),IF(R40="X"," catProDev",""),IF(S40="X"," catTech",""),IF(T40="X"," catMilEd",""),IF(U40="X"," catCivEd",""),IF(V40="X"," catUsGov",""),"' style='margin-bottom: 0px;' id='",F40,"'&gt;&lt;a href='",C40,"' rel='noopener noreferrer' class='column hideMarquee'&gt;&lt;div class='armyCardContainer card'&gt;&lt;div class='armyCard'&gt;&lt;div&gt;&lt;p class='marquee'&gt;",D40,"&lt;/p&gt;",IF(H40="Yes","&lt;img src='assets/CaCRequired.png' title='A CAC is required to use some or all features of this site!' Class='cacLocked'&gt;",""),IF(G40="Yes","&lt;img src='assets/DODlock.png' title='This Site requires a DoD network connection to be used!' Class='dodLocked'&gt;",""),"&lt;img src='assets/",#REF!,"' class='cardImage' loading='lazy'&gt;&lt;/div&gt;&lt;div class='title'&gt;&lt;span&gt;",A40,"&lt;/span&gt;&lt;/div&gt;&lt;/div&gt;&lt;/div&gt;&lt;/a&gt;&lt;/div&gt;&lt;script&gt;var js",F40," = document.getElementById('",F40,"').innerHTML;&lt;/script&gt;")</f>
        <v>0</v>
      </c>
      <c r="Q40" s="17" t="str">
        <f t="shared" si="1"/>
        <v xml:space="preserve">    &lt;details class='noSpacing'&gt;&lt;!-- National Resource Directory - https://nrd.gov --&gt;
      &lt;summary&gt;• &lt;a href='https://nrd.gov' rel='noopener noreferrer'&gt;National Resource Directory - https://nrd.gov&lt;/a&gt;&lt;/summary&gt;
      &lt;p&gt;&lt;/p&gt;
    &lt;/details&gt;</v>
      </c>
      <c r="R40" s="17" t="e">
        <f>CONCATENATE("          &lt;!-- ",#REF!," - ",#REF!," --&gt;&lt;div id='drag",#REF!,"' class='catAll",IF(#REF!="X"," catArmySites",""),IF(A40="X"," catCombatReadiness",""),IF(B40="X"," catDod",""),IF(C40="X"," catFamily",""),IF(#REF!="X"," catFinance",""),IF(D40="X"," catHealth",""),IF(F40="X"," catHuman",""),IF(G40="X"," catLegal",""),IF(H40="X"," catProDev",""),IF(I40="X"," catTech",""),IF(J40="X"," catMilEd",""),IF(K40="X"," catCivEd",""),IF(M40="X","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0" s="17" t="e">
        <f>CONCATENATE("var js",#REF!," = document.getElementbyId('drag",#REF!,"').innerHTML; //  ",#REF!)</f>
        <v>#REF!</v>
      </c>
    </row>
    <row r="41" spans="1:19" x14ac:dyDescent="0.25">
      <c r="A41" s="19" t="s">
        <v>1375</v>
      </c>
      <c r="B41" s="19"/>
      <c r="C41" s="18" t="s">
        <v>1374</v>
      </c>
      <c r="E41" s="17" t="s">
        <v>639</v>
      </c>
      <c r="F41" s="17" t="s">
        <v>1373</v>
      </c>
      <c r="G41" s="17" t="s">
        <v>480</v>
      </c>
      <c r="I41" s="17" t="s">
        <v>480</v>
      </c>
      <c r="O41" s="17" t="str">
        <f>CONCATENATE("var js",Table13[[#This Row],[ID]]," = document.getElementbyId('",Table13[[#This Row],[ID]],"').innerHTML; //  ",Table13[[#This Row],[Site]])</f>
        <v>var jsTA040 = document.getElementbyId('TA040').innerHTML; //  National VA Chaplain Services</v>
      </c>
      <c r="P41" s="17">
        <f ca="1">CONCATENATE("        &lt;!--",A41," - ",C41," --&gt;&lt;div class='column catAll",IF(I41="X"," catArmySites",""),IF(J41="X"," catCombatReadiness",""),IF(K41="X"," catDod",""),IF(M41="X"," catFamily",""),IF(N41="X"," catFinance",""),IF(O41="X"," catHealth",""),IF(P41="X"," catHuman",""),IF(Q41="X"," catLegal",""),IF(R41="X"," catProDev",""),IF(S41="X"," catTech",""),IF(T41="X"," catMilEd",""),IF(U41="X"," catCivEd",""),IF(V41="X"," catUsGov",""),"' style='margin-bottom: 0px;' id='",F41,"'&gt;&lt;a href='",C41,"' rel='noopener noreferrer' class='column hideMarquee'&gt;&lt;div class='armyCardContainer card'&gt;&lt;div class='armyCard'&gt;&lt;div&gt;&lt;p class='marquee'&gt;",D41,"&lt;/p&gt;",IF(H41="Yes","&lt;img src='assets/CaCRequired.png' title='A CAC is required to use some or all features of this site!' Class='cacLocked'&gt;",""),IF(G41="Yes","&lt;img src='assets/DODlock.png' title='This Site requires a DoD network connection to be used!' Class='dodLocked'&gt;",""),"&lt;img src='assets/",#REF!,"' class='cardImage' loading='lazy'&gt;&lt;/div&gt;&lt;div class='title'&gt;&lt;span&gt;",A41,"&lt;/span&gt;&lt;/div&gt;&lt;/div&gt;&lt;/div&gt;&lt;/a&gt;&lt;/div&gt;&lt;script&gt;var js",F41," = document.getElementById('",F41,"').innerHTML;&lt;/script&gt;")</f>
        <v>0</v>
      </c>
      <c r="Q41" s="17" t="str">
        <f t="shared" si="1"/>
        <v xml:space="preserve">    &lt;details class='noSpacing'&gt;&lt;!-- National VA Chaplain Services - https://www.patientcare.va.gov/chaplain/index.asp --&gt;
      &lt;summary&gt;• &lt;a href='https://www.patientcare.va.gov/chaplain/index.asp' rel='noopener noreferrer'&gt;National VA Chaplain Services - https://www.patientcare.va.gov/chaplain/index.asp&lt;/a&gt;&lt;/summary&gt;
      &lt;p&gt;&lt;/p&gt;
    &lt;/details&gt;</v>
      </c>
      <c r="R41" s="17" t="e">
        <f>CONCATENATE("          &lt;!-- ",#REF!," - ",#REF!," --&gt;&lt;div id='drag",#REF!,"' class='catAll",IF(#REF!="X"," catArmySites",""),IF(A41="X"," catCombatReadiness",""),IF(B41="X"," catDod",""),IF(C41="X"," catFamily",""),IF(#REF!="X"," catFinance",""),IF(D41="X"," catHealth",""),IF(F41="X"," catHuman",""),IF(G41="X"," catLegal",""),IF(H41="X"," catProDev",""),IF(I41="X"," catTech",""),IF(J41="X"," catMilEd",""),IF(K41="X"," catCivEd",""),IF(M41="X","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1" s="17" t="e">
        <f>CONCATENATE("var js",#REF!," = document.getElementbyId('drag",#REF!,"').innerHTML; //  ",#REF!)</f>
        <v>#REF!</v>
      </c>
    </row>
    <row r="42" spans="1:19" x14ac:dyDescent="0.25">
      <c r="A42" s="19" t="s">
        <v>1372</v>
      </c>
      <c r="B42" s="19"/>
      <c r="C42" s="18" t="s">
        <v>1371</v>
      </c>
      <c r="E42" s="17" t="s">
        <v>639</v>
      </c>
      <c r="F42" s="17" t="s">
        <v>1370</v>
      </c>
      <c r="I42" s="17" t="s">
        <v>480</v>
      </c>
      <c r="K42" s="17" t="s">
        <v>480</v>
      </c>
      <c r="O42" s="17" t="str">
        <f>CONCATENATE("var js",Table13[[#This Row],[ID]]," = document.getElementbyId('",Table13[[#This Row],[ID]],"').innerHTML; //  ",Table13[[#This Row],[Site]])</f>
        <v>var jsTA041 = document.getElementbyId('TA041').innerHTML; //  Office of Small &amp; Disadvantaged Business Utilization</v>
      </c>
      <c r="P42" s="17">
        <f ca="1">CONCATENATE("        &lt;!--",A42," - ",C42," --&gt;&lt;div class='column catAll",IF(I42="X"," catArmySites",""),IF(J42="X"," catCombatReadiness",""),IF(K42="X"," catDod",""),IF(M42="X"," catFamily",""),IF(N42="X"," catFinance",""),IF(O42="X"," catHealth",""),IF(P42="X"," catHuman",""),IF(Q42="X"," catLegal",""),IF(R42="X"," catProDev",""),IF(S42="X"," catTech",""),IF(T42="X"," catMilEd",""),IF(U42="X"," catCivEd",""),IF(V42="X"," catUsGov",""),"' style='margin-bottom: 0px;' id='",F42,"'&gt;&lt;a href='",C42,"' rel='noopener noreferrer' class='column hideMarquee'&gt;&lt;div class='armyCardContainer card'&gt;&lt;div class='armyCard'&gt;&lt;div&gt;&lt;p class='marquee'&gt;",D42,"&lt;/p&gt;",IF(H42="Yes","&lt;img src='assets/CaCRequired.png' title='A CAC is required to use some or all features of this site!' Class='cacLocked'&gt;",""),IF(G42="Yes","&lt;img src='assets/DODlock.png' title='This Site requires a DoD network connection to be used!' Class='dodLocked'&gt;",""),"&lt;img src='assets/",#REF!,"' class='cardImage' loading='lazy'&gt;&lt;/div&gt;&lt;div class='title'&gt;&lt;span&gt;",A42,"&lt;/span&gt;&lt;/div&gt;&lt;/div&gt;&lt;/div&gt;&lt;/a&gt;&lt;/div&gt;&lt;script&gt;var js",F42," = document.getElementById('",F42,"').innerHTML;&lt;/script&gt;")</f>
        <v>0</v>
      </c>
      <c r="Q42" s="17" t="str">
        <f t="shared" si="1"/>
        <v xml:space="preserve">    &lt;details class='noSpacing'&gt;&lt;!-- Office of Small &amp; Disadvantaged Business Utilization - https://www.va.gov/osdbu --&gt;
      &lt;summary&gt;• &lt;a href='https://www.va.gov/osdbu' rel='noopener noreferrer'&gt;Office of Small &amp; Disadvantaged Business Utilization - https://www.va.gov/osdbu&lt;/a&gt;&lt;/summary&gt;
      &lt;p&gt;&lt;/p&gt;
    &lt;/details&gt;</v>
      </c>
      <c r="R42" s="17" t="e">
        <f>CONCATENATE("          &lt;!-- ",#REF!," - ",#REF!," --&gt;&lt;div id='drag",#REF!,"' class='catAll",IF(#REF!="X"," catArmySites",""),IF(A42="X"," catCombatReadiness",""),IF(B42="X"," catDod",""),IF(C42="X"," catFamily",""),IF(#REF!="X"," catFinance",""),IF(D42="X"," catHealth",""),IF(F42="X"," catHuman",""),IF(G42="X"," catLegal",""),IF(H42="X"," catProDev",""),IF(I42="X"," catTech",""),IF(J42="X"," catMilEd",""),IF(K42="X"," catCivEd",""),IF(M42="X","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2" s="17" t="e">
        <f>CONCATENATE("var js",#REF!," = document.getElementbyId('drag",#REF!,"').innerHTML; //  ",#REF!)</f>
        <v>#REF!</v>
      </c>
    </row>
    <row r="43" spans="1:19" x14ac:dyDescent="0.25">
      <c r="A43" s="19" t="s">
        <v>1369</v>
      </c>
      <c r="B43" s="19"/>
      <c r="C43" s="18" t="s">
        <v>1368</v>
      </c>
      <c r="E43" s="17" t="s">
        <v>639</v>
      </c>
      <c r="F43" s="17" t="s">
        <v>1367</v>
      </c>
      <c r="K43" s="17" t="s">
        <v>480</v>
      </c>
      <c r="O43" s="17" t="str">
        <f>CONCATENATE("var js",Table13[[#This Row],[ID]]," = document.getElementbyId('",Table13[[#This Row],[ID]],"').innerHTML; //  ",Table13[[#This Row],[Site]])</f>
        <v>var jsTA042 = document.getElementbyId('TA042').innerHTML; //  OPM - Feds Hire Vets</v>
      </c>
      <c r="P43" s="17">
        <f ca="1">CONCATENATE("        &lt;!--",A43," - ",C43," --&gt;&lt;div class='column catAll",IF(I43="X"," catArmySites",""),IF(J43="X"," catCombatReadiness",""),IF(K43="X"," catDod",""),IF(M43="X"," catFamily",""),IF(N43="X"," catFinance",""),IF(O43="X"," catHealth",""),IF(P43="X"," catHuman",""),IF(Q43="X"," catLegal",""),IF(R43="X"," catProDev",""),IF(S43="X"," catTech",""),IF(T43="X"," catMilEd",""),IF(U43="X"," catCivEd",""),IF(V43="X"," catUsGov",""),"' style='margin-bottom: 0px;' id='",F43,"'&gt;&lt;a href='",C43,"' rel='noopener noreferrer' class='column hideMarquee'&gt;&lt;div class='armyCardContainer card'&gt;&lt;div class='armyCard'&gt;&lt;div&gt;&lt;p class='marquee'&gt;",D43,"&lt;/p&gt;",IF(H43="Yes","&lt;img src='assets/CaCRequired.png' title='A CAC is required to use some or all features of this site!' Class='cacLocked'&gt;",""),IF(G43="Yes","&lt;img src='assets/DODlock.png' title='This Site requires a DoD network connection to be used!' Class='dodLocked'&gt;",""),"&lt;img src='assets/",#REF!,"' class='cardImage' loading='lazy'&gt;&lt;/div&gt;&lt;div class='title'&gt;&lt;span&gt;",A43,"&lt;/span&gt;&lt;/div&gt;&lt;/div&gt;&lt;/div&gt;&lt;/a&gt;&lt;/div&gt;&lt;script&gt;var js",F43," = document.getElementById('",F43,"').innerHTML;&lt;/script&gt;")</f>
        <v>0</v>
      </c>
      <c r="Q43" s="17" t="str">
        <f t="shared" si="1"/>
        <v xml:space="preserve">    &lt;details class='noSpacing'&gt;&lt;!-- OPM - Feds Hire Vets - https://www.opm.gov/fedshirevets/ --&gt;
      &lt;summary&gt;• &lt;a href='https://www.opm.gov/fedshirevets/' rel='noopener noreferrer'&gt;OPM - Feds Hire Vets - https://www.opm.gov/fedshirevets/&lt;/a&gt;&lt;/summary&gt;
      &lt;p&gt;&lt;/p&gt;
    &lt;/details&gt;</v>
      </c>
      <c r="R43" s="17" t="e">
        <f>CONCATENATE("          &lt;!-- ",#REF!," - ",#REF!," --&gt;&lt;div id='drag",#REF!,"' class='catAll",IF(#REF!="X"," catArmySites",""),IF(A43="X"," catCombatReadiness",""),IF(B43="X"," catDod",""),IF(C43="X"," catFamily",""),IF(#REF!="X"," catFinance",""),IF(D43="X"," catHealth",""),IF(F43="X"," catHuman",""),IF(G43="X"," catLegal",""),IF(H43="X"," catProDev",""),IF(I43="X"," catTech",""),IF(J43="X"," catMilEd",""),IF(K43="X"," catCivEd",""),IF(M43="X","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3" s="17" t="e">
        <f>CONCATENATE("var js",#REF!," = document.getElementbyId('drag",#REF!,"').innerHTML; //  ",#REF!)</f>
        <v>#REF!</v>
      </c>
    </row>
    <row r="44" spans="1:19" x14ac:dyDescent="0.25">
      <c r="A44" s="19" t="s">
        <v>1366</v>
      </c>
      <c r="B44" s="19"/>
      <c r="C44" s="18" t="s">
        <v>1365</v>
      </c>
      <c r="E44" s="17" t="s">
        <v>639</v>
      </c>
      <c r="F44" s="17" t="s">
        <v>1364</v>
      </c>
      <c r="I44" s="17" t="s">
        <v>480</v>
      </c>
      <c r="O44" s="17" t="str">
        <f>CONCATENATE("var js",Table13[[#This Row],[ID]]," = document.getElementbyId('",Table13[[#This Row],[ID]],"').innerHTML; //  ",Table13[[#This Row],[Site]])</f>
        <v>var jsTA043 = document.getElementbyId('TA043').innerHTML; //  Post-9/11 Transition and Case Management</v>
      </c>
      <c r="P44" s="17">
        <f ca="1">CONCATENATE("        &lt;!--",A44," - ",C44," --&gt;&lt;div class='column catAll",IF(I44="X"," catArmySites",""),IF(J44="X"," catCombatReadiness",""),IF(K44="X"," catDod",""),IF(M44="X"," catFamily",""),IF(N44="X"," catFinance",""),IF(O44="X"," catHealth",""),IF(P44="X"," catHuman",""),IF(Q44="X"," catLegal",""),IF(R44="X"," catProDev",""),IF(S44="X"," catTech",""),IF(T44="X"," catMilEd",""),IF(U44="X"," catCivEd",""),IF(V44="X"," catUsGov",""),"' style='margin-bottom: 0px;' id='",F44,"'&gt;&lt;a href='",C44,"' rel='noopener noreferrer' class='column hideMarquee'&gt;&lt;div class='armyCardContainer card'&gt;&lt;div class='armyCard'&gt;&lt;div&gt;&lt;p class='marquee'&gt;",D44,"&lt;/p&gt;",IF(H44="Yes","&lt;img src='assets/CaCRequired.png' title='A CAC is required to use some or all features of this site!' Class='cacLocked'&gt;",""),IF(G44="Yes","&lt;img src='assets/DODlock.png' title='This Site requires a DoD network connection to be used!' Class='dodLocked'&gt;",""),"&lt;img src='assets/",#REF!,"' class='cardImage' loading='lazy'&gt;&lt;/div&gt;&lt;div class='title'&gt;&lt;span&gt;",A44,"&lt;/span&gt;&lt;/div&gt;&lt;/div&gt;&lt;/div&gt;&lt;/a&gt;&lt;/div&gt;&lt;script&gt;var js",F44," = document.getElementById('",F44,"').innerHTML;&lt;/script&gt;")</f>
        <v>0</v>
      </c>
      <c r="Q44" s="17" t="str">
        <f t="shared" si="1"/>
        <v xml:space="preserve">    &lt;details class='noSpacing'&gt;&lt;!-- Post-9/11 Transition and Case Management - https://www.va.gov/post911veterans/ --&gt;
      &lt;summary&gt;• &lt;a href='https://www.va.gov/post911veterans/' rel='noopener noreferrer'&gt;Post-9/11 Transition and Case Management - https://www.va.gov/post911veterans/&lt;/a&gt;&lt;/summary&gt;
      &lt;p&gt;&lt;/p&gt;
    &lt;/details&gt;</v>
      </c>
      <c r="R44" s="17" t="e">
        <f>CONCATENATE("          &lt;!-- ",#REF!," - ",#REF!," --&gt;&lt;div id='drag",#REF!,"' class='catAll",IF(#REF!="X"," catArmySites",""),IF(A44="X"," catCombatReadiness",""),IF(B44="X"," catDod",""),IF(C44="X"," catFamily",""),IF(#REF!="X"," catFinance",""),IF(D44="X"," catHealth",""),IF(F44="X"," catHuman",""),IF(G44="X"," catLegal",""),IF(H44="X"," catProDev",""),IF(I44="X"," catTech",""),IF(J44="X"," catMilEd",""),IF(K44="X"," catCivEd",""),IF(M44="X","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4" s="17" t="e">
        <f>CONCATENATE("var js",#REF!," = document.getElementbyId('drag",#REF!,"').innerHTML; //  ",#REF!)</f>
        <v>#REF!</v>
      </c>
    </row>
    <row r="45" spans="1:19" x14ac:dyDescent="0.25">
      <c r="A45" s="19" t="s">
        <v>1363</v>
      </c>
      <c r="B45" s="19"/>
      <c r="C45" s="18" t="s">
        <v>1362</v>
      </c>
      <c r="E45" s="17" t="s">
        <v>639</v>
      </c>
      <c r="F45" s="17" t="s">
        <v>1361</v>
      </c>
      <c r="I45" s="17" t="s">
        <v>480</v>
      </c>
      <c r="M45" s="17" t="s">
        <v>480</v>
      </c>
      <c r="O45" s="17" t="str">
        <f>CONCATENATE("var js",Table13[[#This Row],[ID]]," = document.getElementbyId('",Table13[[#This Row],[ID]],"').innerHTML; //  ",Table13[[#This Row],[Site]])</f>
        <v>var jsTA044 = document.getElementbyId('TA044').innerHTML; //  Pre-need eligibility for burial in a VA cemetery</v>
      </c>
      <c r="P45" s="17">
        <f ca="1">CONCATENATE("        &lt;!--",A45," - ",C45," --&gt;&lt;div class='column catAll",IF(I45="X"," catArmySites",""),IF(J45="X"," catCombatReadiness",""),IF(K45="X"," catDod",""),IF(M45="X"," catFamily",""),IF(N45="X"," catFinance",""),IF(O45="X"," catHealth",""),IF(P45="X"," catHuman",""),IF(Q45="X"," catLegal",""),IF(R45="X"," catProDev",""),IF(S45="X"," catTech",""),IF(T45="X"," catMilEd",""),IF(U45="X"," catCivEd",""),IF(V45="X"," catUsGov",""),"' style='margin-bottom: 0px;' id='",F45,"'&gt;&lt;a href='",C45,"' rel='noopener noreferrer' class='column hideMarquee'&gt;&lt;div class='armyCardContainer card'&gt;&lt;div class='armyCard'&gt;&lt;div&gt;&lt;p class='marquee'&gt;",D45,"&lt;/p&gt;",IF(H45="Yes","&lt;img src='assets/CaCRequired.png' title='A CAC is required to use some or all features of this site!' Class='cacLocked'&gt;",""),IF(G45="Yes","&lt;img src='assets/DODlock.png' title='This Site requires a DoD network connection to be used!' Class='dodLocked'&gt;",""),"&lt;img src='assets/",#REF!,"' class='cardImage' loading='lazy'&gt;&lt;/div&gt;&lt;div class='title'&gt;&lt;span&gt;",A45,"&lt;/span&gt;&lt;/div&gt;&lt;/div&gt;&lt;/div&gt;&lt;/a&gt;&lt;/div&gt;&lt;script&gt;var js",F45," = document.getElementById('",F45,"').innerHTML;&lt;/script&gt;")</f>
        <v>0</v>
      </c>
      <c r="Q45" s="17" t="str">
        <f t="shared" si="1"/>
        <v xml:space="preserve">    &lt;details class='noSpacing'&gt;&lt;!-- Pre-need eligibility for burial in a VA cemetery - https://www.va.gov/burials-memorials/pre-need-eligibility --&gt;
      &lt;summary&gt;• &lt;a href='https://www.va.gov/burials-memorials/pre-need-eligibility' rel='noopener noreferrer'&gt;Pre-need eligibility for burial in a VA cemetery - https://www.va.gov/burials-memorials/pre-need-eligibility&lt;/a&gt;&lt;/summary&gt;
      &lt;p&gt;&lt;/p&gt;
    &lt;/details&gt;</v>
      </c>
      <c r="R45" s="17" t="e">
        <f>CONCATENATE("          &lt;!-- ",#REF!," - ",#REF!," --&gt;&lt;div id='drag",#REF!,"' class='catAll",IF(#REF!="X"," catArmySites",""),IF(A45="X"," catCombatReadiness",""),IF(B45="X"," catDod",""),IF(C45="X"," catFamily",""),IF(#REF!="X"," catFinance",""),IF(D45="X"," catHealth",""),IF(F45="X"," catHuman",""),IF(G45="X"," catLegal",""),IF(H45="X"," catProDev",""),IF(I45="X"," catTech",""),IF(J45="X"," catMilEd",""),IF(K45="X"," catCivEd",""),IF(M45="X","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5" s="17" t="e">
        <f>CONCATENATE("var js",#REF!," = document.getElementbyId('drag",#REF!,"').innerHTML; //  ",#REF!)</f>
        <v>#REF!</v>
      </c>
    </row>
    <row r="46" spans="1:19" x14ac:dyDescent="0.25">
      <c r="A46" s="19" t="s">
        <v>1360</v>
      </c>
      <c r="B46" s="19"/>
      <c r="C46" s="18" t="s">
        <v>1359</v>
      </c>
      <c r="E46" s="17" t="s">
        <v>639</v>
      </c>
      <c r="F46" s="17" t="s">
        <v>1358</v>
      </c>
      <c r="G46" s="17" t="s">
        <v>480</v>
      </c>
      <c r="I46" s="17" t="s">
        <v>480</v>
      </c>
      <c r="O46" s="17" t="str">
        <f>CONCATENATE("var js",Table13[[#This Row],[ID]]," = document.getElementbyId('",Table13[[#This Row],[ID]],"').innerHTML; //  ",Table13[[#This Row],[Site]])</f>
        <v>var jsTA045 = document.getElementbyId('TA045').innerHTML; //  Program of Comprehensive Assistance for Family Caregivers</v>
      </c>
      <c r="P46" s="17">
        <f ca="1">CONCATENATE("        &lt;!--",A46," - ",C46," --&gt;&lt;div class='column catAll",IF(I46="X"," catArmySites",""),IF(J46="X"," catCombatReadiness",""),IF(K46="X"," catDod",""),IF(M46="X"," catFamily",""),IF(N46="X"," catFinance",""),IF(O46="X"," catHealth",""),IF(P46="X"," catHuman",""),IF(Q46="X"," catLegal",""),IF(R46="X"," catProDev",""),IF(S46="X"," catTech",""),IF(T46="X"," catMilEd",""),IF(U46="X"," catCivEd",""),IF(V46="X"," catUsGov",""),"' style='margin-bottom: 0px;' id='",F46,"'&gt;&lt;a href='",C46,"' rel='noopener noreferrer' class='column hideMarquee'&gt;&lt;div class='armyCardContainer card'&gt;&lt;div class='armyCard'&gt;&lt;div&gt;&lt;p class='marquee'&gt;",D46,"&lt;/p&gt;",IF(H46="Yes","&lt;img src='assets/CaCRequired.png' title='A CAC is required to use some or all features of this site!' Class='cacLocked'&gt;",""),IF(G46="Yes","&lt;img src='assets/DODlock.png' title='This Site requires a DoD network connection to be used!' Class='dodLocked'&gt;",""),"&lt;img src='assets/",#REF!,"' class='cardImage' loading='lazy'&gt;&lt;/div&gt;&lt;div class='title'&gt;&lt;span&gt;",A46,"&lt;/span&gt;&lt;/div&gt;&lt;/div&gt;&lt;/div&gt;&lt;/a&gt;&lt;/div&gt;&lt;script&gt;var js",F46," = document.getElementById('",F46,"').innerHTML;&lt;/script&gt;")</f>
        <v>0</v>
      </c>
      <c r="Q46" s="17" t="str">
        <f t="shared" si="1"/>
        <v xml:space="preserve">    &lt;details class='noSpacing'&gt;&lt;!-- Program of Comprehensive Assistance for Family Caregivers - https://www.va.gov/family-member-benefits/comprehensive-assistance-for-family-caregivers --&gt;
      &lt;summary&gt;• &lt;a href='https://www.va.gov/family-member-benefits/comprehensive-assistance-for-family-caregivers' rel='noopener noreferrer'&gt;Program of Comprehensive Assistance for Family Caregivers - https://www.va.gov/family-member-benefits/comprehensive-assistance-for-family-caregivers&lt;/a&gt;&lt;/summary&gt;
      &lt;p&gt;&lt;/p&gt;
    &lt;/details&gt;</v>
      </c>
      <c r="R46" s="17" t="e">
        <f>CONCATENATE("          &lt;!-- ",#REF!," - ",#REF!," --&gt;&lt;div id='drag",#REF!,"' class='catAll",IF(#REF!="X"," catArmySites",""),IF(A46="X"," catCombatReadiness",""),IF(B46="X"," catDod",""),IF(C46="X"," catFamily",""),IF(#REF!="X"," catFinance",""),IF(D46="X"," catHealth",""),IF(F46="X"," catHuman",""),IF(G46="X"," catLegal",""),IF(H46="X"," catProDev",""),IF(I46="X"," catTech",""),IF(J46="X"," catMilEd",""),IF(K46="X"," catCivEd",""),IF(M46="X","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6" s="17" t="e">
        <f>CONCATENATE("var js",#REF!," = document.getElementbyId('drag",#REF!,"').innerHTML; //  ",#REF!)</f>
        <v>#REF!</v>
      </c>
    </row>
    <row r="47" spans="1:19" x14ac:dyDescent="0.25">
      <c r="A47" s="19" t="s">
        <v>1357</v>
      </c>
      <c r="B47" s="19"/>
      <c r="C47" s="18" t="s">
        <v>1356</v>
      </c>
      <c r="E47" s="17" t="s">
        <v>639</v>
      </c>
      <c r="F47" s="17" t="s">
        <v>1355</v>
      </c>
      <c r="G47" s="17" t="s">
        <v>480</v>
      </c>
      <c r="I47" s="17" t="s">
        <v>480</v>
      </c>
      <c r="O47" s="17" t="str">
        <f>CONCATENATE("var js",Table13[[#This Row],[ID]]," = document.getElementbyId('",Table13[[#This Row],[ID]],"').innerHTML; //  ",Table13[[#This Row],[Site]])</f>
        <v>var jsTA046 = document.getElementbyId('TA046').innerHTML; //  PTSD treatment</v>
      </c>
      <c r="P47" s="17">
        <f ca="1">CONCATENATE("        &lt;!--",A47," - ",C47," --&gt;&lt;div class='column catAll",IF(I47="X"," catArmySites",""),IF(J47="X"," catCombatReadiness",""),IF(K47="X"," catDod",""),IF(M47="X"," catFamily",""),IF(N47="X"," catFinance",""),IF(O47="X"," catHealth",""),IF(P47="X"," catHuman",""),IF(Q47="X"," catLegal",""),IF(R47="X"," catProDev",""),IF(S47="X"," catTech",""),IF(T47="X"," catMilEd",""),IF(U47="X"," catCivEd",""),IF(V47="X"," catUsGov",""),"' style='margin-bottom: 0px;' id='",F47,"'&gt;&lt;a href='",C47,"' rel='noopener noreferrer' class='column hideMarquee'&gt;&lt;div class='armyCardContainer card'&gt;&lt;div class='armyCard'&gt;&lt;div&gt;&lt;p class='marquee'&gt;",D47,"&lt;/p&gt;",IF(H47="Yes","&lt;img src='assets/CaCRequired.png' title='A CAC is required to use some or all features of this site!' Class='cacLocked'&gt;",""),IF(G47="Yes","&lt;img src='assets/DODlock.png' title='This Site requires a DoD network connection to be used!' Class='dodLocked'&gt;",""),"&lt;img src='assets/",#REF!,"' class='cardImage' loading='lazy'&gt;&lt;/div&gt;&lt;div class='title'&gt;&lt;span&gt;",A47,"&lt;/span&gt;&lt;/div&gt;&lt;/div&gt;&lt;/div&gt;&lt;/a&gt;&lt;/div&gt;&lt;script&gt;var js",F47," = document.getElementById('",F47,"').innerHTML;&lt;/script&gt;")</f>
        <v>0</v>
      </c>
      <c r="Q47" s="17" t="str">
        <f t="shared" si="1"/>
        <v xml:space="preserve">    &lt;details class='noSpacing'&gt;&lt;!-- PTSD treatment - https://www.va.gov/health-care/health-needs-conditions/mental-health/ptsd --&gt;
      &lt;summary&gt;• &lt;a href='https://www.va.gov/health-care/health-needs-conditions/mental-health/ptsd' rel='noopener noreferrer'&gt;PTSD treatment - https://www.va.gov/health-care/health-needs-conditions/mental-health/ptsd&lt;/a&gt;&lt;/summary&gt;
      &lt;p&gt;&lt;/p&gt;
    &lt;/details&gt;</v>
      </c>
      <c r="R47" s="17" t="e">
        <f>CONCATENATE("          &lt;!-- ",#REF!," - ",#REF!," --&gt;&lt;div id='drag",#REF!,"' class='catAll",IF(#REF!="X"," catArmySites",""),IF(A47="X"," catCombatReadiness",""),IF(B47="X"," catDod",""),IF(C47="X"," catFamily",""),IF(#REF!="X"," catFinance",""),IF(D47="X"," catHealth",""),IF(F47="X"," catHuman",""),IF(G47="X"," catLegal",""),IF(H47="X"," catProDev",""),IF(I47="X"," catTech",""),IF(J47="X"," catMilEd",""),IF(K47="X"," catCivEd",""),IF(M47="X","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7" s="17" t="e">
        <f>CONCATENATE("var js",#REF!," = document.getElementbyId('drag",#REF!,"').innerHTML; //  ",#REF!)</f>
        <v>#REF!</v>
      </c>
    </row>
    <row r="48" spans="1:19" x14ac:dyDescent="0.25">
      <c r="A48" s="19" t="s">
        <v>1354</v>
      </c>
      <c r="B48" s="19"/>
      <c r="C48" s="18" t="s">
        <v>1353</v>
      </c>
      <c r="E48" s="17" t="s">
        <v>639</v>
      </c>
      <c r="F48" s="17" t="s">
        <v>1352</v>
      </c>
      <c r="G48" s="17" t="s">
        <v>480</v>
      </c>
      <c r="I48" s="17" t="s">
        <v>480</v>
      </c>
      <c r="O48" s="17" t="str">
        <f>CONCATENATE("var js",Table13[[#This Row],[ID]]," = document.getElementbyId('",Table13[[#This Row],[ID]],"').innerHTML; //  ",Table13[[#This Row],[Site]])</f>
        <v>var jsTA047 = document.getElementbyId('TA047').innerHTML; //  PTSD Treatment Decision Aid</v>
      </c>
      <c r="P48" s="17">
        <f ca="1">CONCATENATE("        &lt;!--",A48," - ",C48," --&gt;&lt;div class='column catAll",IF(I48="X"," catArmySites",""),IF(J48="X"," catCombatReadiness",""),IF(K48="X"," catDod",""),IF(M48="X"," catFamily",""),IF(N48="X"," catFinance",""),IF(O48="X"," catHealth",""),IF(P48="X"," catHuman",""),IF(Q48="X"," catLegal",""),IF(R48="X"," catProDev",""),IF(S48="X"," catTech",""),IF(T48="X"," catMilEd",""),IF(U48="X"," catCivEd",""),IF(V48="X"," catUsGov",""),"' style='margin-bottom: 0px;' id='",F48,"'&gt;&lt;a href='",C48,"' rel='noopener noreferrer' class='column hideMarquee'&gt;&lt;div class='armyCardContainer card'&gt;&lt;div class='armyCard'&gt;&lt;div&gt;&lt;p class='marquee'&gt;",D48,"&lt;/p&gt;",IF(H48="Yes","&lt;img src='assets/CaCRequired.png' title='A CAC is required to use some or all features of this site!' Class='cacLocked'&gt;",""),IF(G48="Yes","&lt;img src='assets/DODlock.png' title='This Site requires a DoD network connection to be used!' Class='dodLocked'&gt;",""),"&lt;img src='assets/",#REF!,"' class='cardImage' loading='lazy'&gt;&lt;/div&gt;&lt;div class='title'&gt;&lt;span&gt;",A48,"&lt;/span&gt;&lt;/div&gt;&lt;/div&gt;&lt;/div&gt;&lt;/a&gt;&lt;/div&gt;&lt;script&gt;var js",F48," = document.getElementById('",F48,"').innerHTML;&lt;/script&gt;")</f>
        <v>0</v>
      </c>
      <c r="Q48" s="17" t="str">
        <f t="shared" si="1"/>
        <v xml:space="preserve">    &lt;details class='noSpacing'&gt;&lt;!-- PTSD Treatment Decision Aid - https://www.ptsd.va.gov/apps/decisionaid --&gt;
      &lt;summary&gt;• &lt;a href='https://www.ptsd.va.gov/apps/decisionaid' rel='noopener noreferrer'&gt;PTSD Treatment Decision Aid - https://www.ptsd.va.gov/apps/decisionaid&lt;/a&gt;&lt;/summary&gt;
      &lt;p&gt;&lt;/p&gt;
    &lt;/details&gt;</v>
      </c>
      <c r="R48" s="17" t="e">
        <f>CONCATENATE("          &lt;!-- ",#REF!," - ",#REF!," --&gt;&lt;div id='drag",#REF!,"' class='catAll",IF(#REF!="X"," catArmySites",""),IF(A48="X"," catCombatReadiness",""),IF(B48="X"," catDod",""),IF(C48="X"," catFamily",""),IF(#REF!="X"," catFinance",""),IF(D48="X"," catHealth",""),IF(F48="X"," catHuman",""),IF(G48="X"," catLegal",""),IF(H48="X"," catProDev",""),IF(I48="X"," catTech",""),IF(J48="X"," catMilEd",""),IF(K48="X"," catCivEd",""),IF(M48="X","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8" s="17" t="e">
        <f>CONCATENATE("var js",#REF!," = document.getElementbyId('drag",#REF!,"').innerHTML; //  ",#REF!)</f>
        <v>#REF!</v>
      </c>
    </row>
    <row r="49" spans="1:19" x14ac:dyDescent="0.25">
      <c r="A49" s="19" t="s">
        <v>1351</v>
      </c>
      <c r="B49" s="19"/>
      <c r="C49" s="18" t="s">
        <v>1350</v>
      </c>
      <c r="E49" s="17" t="s">
        <v>639</v>
      </c>
      <c r="F49" s="17" t="s">
        <v>1349</v>
      </c>
      <c r="G49" s="17" t="s">
        <v>480</v>
      </c>
      <c r="O49" s="17" t="str">
        <f>CONCATENATE("var js",Table13[[#This Row],[ID]]," = document.getElementbyId('",Table13[[#This Row],[ID]],"').innerHTML; //  ",Table13[[#This Row],[Site]])</f>
        <v>var jsTA048 = document.getElementbyId('TA048').innerHTML; //  Rally Point</v>
      </c>
      <c r="P49" s="17">
        <f ca="1">CONCATENATE("        &lt;!--",A49," - ",C49," --&gt;&lt;div class='column catAll",IF(I49="X"," catArmySites",""),IF(J49="X"," catCombatReadiness",""),IF(K49="X"," catDod",""),IF(M49="X"," catFamily",""),IF(N49="X"," catFinance",""),IF(O49="X"," catHealth",""),IF(P49="X"," catHuman",""),IF(Q49="X"," catLegal",""),IF(R49="X"," catProDev",""),IF(S49="X"," catTech",""),IF(T49="X"," catMilEd",""),IF(U49="X"," catCivEd",""),IF(V49="X"," catUsGov",""),"' style='margin-bottom: 0px;' id='",F49,"'&gt;&lt;a href='",C49,"' rel='noopener noreferrer' class='column hideMarquee'&gt;&lt;div class='armyCardContainer card'&gt;&lt;div class='armyCard'&gt;&lt;div&gt;&lt;p class='marquee'&gt;",D49,"&lt;/p&gt;",IF(H49="Yes","&lt;img src='assets/CaCRequired.png' title='A CAC is required to use some or all features of this site!' Class='cacLocked'&gt;",""),IF(G49="Yes","&lt;img src='assets/DODlock.png' title='This Site requires a DoD network connection to be used!' Class='dodLocked'&gt;",""),"&lt;img src='assets/",#REF!,"' class='cardImage' loading='lazy'&gt;&lt;/div&gt;&lt;div class='title'&gt;&lt;span&gt;",A49,"&lt;/span&gt;&lt;/div&gt;&lt;/div&gt;&lt;/div&gt;&lt;/a&gt;&lt;/div&gt;&lt;script&gt;var js",F49," = document.getElementById('",F49,"').innerHTML;&lt;/script&gt;")</f>
        <v>0</v>
      </c>
      <c r="Q49" s="17" t="str">
        <f t="shared" si="1"/>
        <v xml:space="preserve">    &lt;details class='noSpacing'&gt;&lt;!-- Rally Point - https://www.rallypoint.com --&gt;
      &lt;summary&gt;• &lt;a href='https://www.rallypoint.com' rel='noopener noreferrer'&gt;Rally Point - https://www.rallypoint.com&lt;/a&gt;&lt;/summary&gt;
      &lt;p&gt;&lt;/p&gt;
    &lt;/details&gt;</v>
      </c>
      <c r="R49" s="17" t="e">
        <f>CONCATENATE("          &lt;!-- ",#REF!," - ",#REF!," --&gt;&lt;div id='drag",#REF!,"' class='catAll",IF(#REF!="X"," catArmySites",""),IF(A49="X"," catCombatReadiness",""),IF(B49="X"," catDod",""),IF(C49="X"," catFamily",""),IF(#REF!="X"," catFinance",""),IF(D49="X"," catHealth",""),IF(F49="X"," catHuman",""),IF(G49="X"," catLegal",""),IF(H49="X"," catProDev",""),IF(I49="X"," catTech",""),IF(J49="X"," catMilEd",""),IF(K49="X"," catCivEd",""),IF(M49="X","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49" s="17" t="e">
        <f>CONCATENATE("var js",#REF!," = document.getElementbyId('drag",#REF!,"').innerHTML; //  ",#REF!)</f>
        <v>#REF!</v>
      </c>
    </row>
    <row r="50" spans="1:19" x14ac:dyDescent="0.25">
      <c r="A50" s="19" t="s">
        <v>1348</v>
      </c>
      <c r="B50" s="19"/>
      <c r="C50" s="18" t="s">
        <v>1347</v>
      </c>
      <c r="E50" s="17" t="s">
        <v>639</v>
      </c>
      <c r="F50" s="17" t="s">
        <v>1346</v>
      </c>
      <c r="H50" s="17" t="s">
        <v>18</v>
      </c>
      <c r="I50" s="17" t="s">
        <v>480</v>
      </c>
      <c r="O50" s="17" t="str">
        <f>CONCATENATE("var js",Table13[[#This Row],[ID]]," = document.getElementbyId('",Table13[[#This Row],[ID]],"').innerHTML; //  ",Table13[[#This Row],[Site]])</f>
        <v>var jsTA049 = document.getElementbyId('TA049').innerHTML; //  request a VA home loan Certificate of Eligibility</v>
      </c>
      <c r="P50" s="17">
        <f ca="1">CONCATENATE("        &lt;!--",A50," - ",C50," --&gt;&lt;div class='column catAll",IF(I50="X"," catArmySites",""),IF(J50="X"," catCombatReadiness",""),IF(K50="X"," catDod",""),IF(M50="X"," catFamily",""),IF(N50="X"," catFinance",""),IF(O50="X"," catHealth",""),IF(P50="X"," catHuman",""),IF(Q50="X"," catLegal",""),IF(R50="X"," catProDev",""),IF(S50="X"," catTech",""),IF(T50="X"," catMilEd",""),IF(U50="X"," catCivEd",""),IF(V50="X"," catUsGov",""),"' style='margin-bottom: 0px;' id='",F50,"'&gt;&lt;a href='",C50,"' rel='noopener noreferrer' class='column hideMarquee'&gt;&lt;div class='armyCardContainer card'&gt;&lt;div class='armyCard'&gt;&lt;div&gt;&lt;p class='marquee'&gt;",D50,"&lt;/p&gt;",IF(H50="Yes","&lt;img src='assets/CaCRequired.png' title='A CAC is required to use some or all features of this site!' Class='cacLocked'&gt;",""),IF(G50="Yes","&lt;img src='assets/DODlock.png' title='This Site requires a DoD network connection to be used!' Class='dodLocked'&gt;",""),"&lt;img src='assets/",#REF!,"' class='cardImage' loading='lazy'&gt;&lt;/div&gt;&lt;div class='title'&gt;&lt;span&gt;",A50,"&lt;/span&gt;&lt;/div&gt;&lt;/div&gt;&lt;/div&gt;&lt;/a&gt;&lt;/div&gt;&lt;script&gt;var js",F50," = document.getElementById('",F50,"').innerHTML;&lt;/script&gt;")</f>
        <v>0</v>
      </c>
      <c r="Q50" s="17" t="str">
        <f t="shared" si="1"/>
        <v xml:space="preserve">    &lt;details class='noSpacing'&gt;&lt;!-- request a VA home loan Certificate of Eligibility - https://www.va.gov/housing-assistance/home-loans/how-to-apply --&gt;
      &lt;summary&gt;• &lt;a href='https://www.va.gov/housing-assistance/home-loans/how-to-apply' rel='noopener noreferrer'&gt;request a VA home loan Certificate of Eligibility - https://www.va.gov/housing-assistance/home-loans/how-to-apply&lt;/a&gt;&lt;/summary&gt;
      &lt;p&gt;&lt;/p&gt;
    &lt;/details&gt;</v>
      </c>
      <c r="R50" s="17" t="e">
        <f>CONCATENATE("          &lt;!-- ",#REF!," - ",#REF!," --&gt;&lt;div id='drag",#REF!,"' class='catAll",IF(#REF!="X"," catArmySites",""),IF(A50="X"," catCombatReadiness",""),IF(B50="X"," catDod",""),IF(C50="X"," catFamily",""),IF(#REF!="X"," catFinance",""),IF(D50="X"," catHealth",""),IF(F50="X"," catHuman",""),IF(G50="X"," catLegal",""),IF(H50="X"," catProDev",""),IF(I50="X"," catTech",""),IF(J50="X"," catMilEd",""),IF(K50="X"," catCivEd",""),IF(M50="X","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0" s="17" t="e">
        <f>CONCATENATE("var js",#REF!," = document.getElementbyId('drag",#REF!,"').innerHTML; //  ",#REF!)</f>
        <v>#REF!</v>
      </c>
    </row>
    <row r="51" spans="1:19" x14ac:dyDescent="0.25">
      <c r="A51" s="19" t="s">
        <v>1345</v>
      </c>
      <c r="B51" s="19"/>
      <c r="C51" s="18" t="s">
        <v>1344</v>
      </c>
      <c r="E51" s="17" t="s">
        <v>639</v>
      </c>
      <c r="F51" s="17" t="s">
        <v>1343</v>
      </c>
      <c r="J51" s="17" t="s">
        <v>480</v>
      </c>
      <c r="O51" s="17" t="str">
        <f>CONCATENATE("var js",Table13[[#This Row],[ID]]," = document.getElementbyId('",Table13[[#This Row],[ID]],"').innerHTML; //  ",Table13[[#This Row],[Site]])</f>
        <v>var jsTA050 = document.getElementbyId('TA050').innerHTML; //  Rural Development</v>
      </c>
      <c r="P51" s="17">
        <f ca="1">CONCATENATE("        &lt;!--",A51," - ",C51," --&gt;&lt;div class='column catAll",IF(I51="X"," catArmySites",""),IF(J51="X"," catCombatReadiness",""),IF(K51="X"," catDod",""),IF(M51="X"," catFamily",""),IF(N51="X"," catFinance",""),IF(O51="X"," catHealth",""),IF(P51="X"," catHuman",""),IF(Q51="X"," catLegal",""),IF(R51="X"," catProDev",""),IF(S51="X"," catTech",""),IF(T51="X"," catMilEd",""),IF(U51="X"," catCivEd",""),IF(V51="X"," catUsGov",""),"' style='margin-bottom: 0px;' id='",F51,"'&gt;&lt;a href='",C51,"' rel='noopener noreferrer' class='column hideMarquee'&gt;&lt;div class='armyCardContainer card'&gt;&lt;div class='armyCard'&gt;&lt;div&gt;&lt;p class='marquee'&gt;",D51,"&lt;/p&gt;",IF(H51="Yes","&lt;img src='assets/CaCRequired.png' title='A CAC is required to use some or all features of this site!' Class='cacLocked'&gt;",""),IF(G51="Yes","&lt;img src='assets/DODlock.png' title='This Site requires a DoD network connection to be used!' Class='dodLocked'&gt;",""),"&lt;img src='assets/",#REF!,"' class='cardImage' loading='lazy'&gt;&lt;/div&gt;&lt;div class='title'&gt;&lt;span&gt;",A51,"&lt;/span&gt;&lt;/div&gt;&lt;/div&gt;&lt;/div&gt;&lt;/a&gt;&lt;/div&gt;&lt;script&gt;var js",F51," = document.getElementById('",F51,"').innerHTML;&lt;/script&gt;")</f>
        <v>0</v>
      </c>
      <c r="Q51" s="17" t="str">
        <f t="shared" si="1"/>
        <v xml:space="preserve">    &lt;details class='noSpacing'&gt;&lt;!-- Rural Development - https://www.rd.usda.gov --&gt;
      &lt;summary&gt;• &lt;a href='https://www.rd.usda.gov' rel='noopener noreferrer'&gt;Rural Development - https://www.rd.usda.gov&lt;/a&gt;&lt;/summary&gt;
      &lt;p&gt;&lt;/p&gt;
    &lt;/details&gt;</v>
      </c>
      <c r="R51" s="17" t="e">
        <f>CONCATENATE("          &lt;!-- ",#REF!," - ",#REF!," --&gt;&lt;div id='drag",#REF!,"' class='catAll",IF(#REF!="X"," catArmySites",""),IF(A51="X"," catCombatReadiness",""),IF(B51="X"," catDod",""),IF(C51="X"," catFamily",""),IF(#REF!="X"," catFinance",""),IF(D51="X"," catHealth",""),IF(F51="X"," catHuman",""),IF(G51="X"," catLegal",""),IF(H51="X"," catProDev",""),IF(I51="X"," catTech",""),IF(J51="X"," catMilEd",""),IF(K51="X"," catCivEd",""),IF(M51="X","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1" s="17" t="e">
        <f>CONCATENATE("var js",#REF!," = document.getElementbyId('drag",#REF!,"').innerHTML; //  ",#REF!)</f>
        <v>#REF!</v>
      </c>
    </row>
    <row r="52" spans="1:19" x14ac:dyDescent="0.25">
      <c r="A52" s="19" t="s">
        <v>1342</v>
      </c>
      <c r="B52" s="19"/>
      <c r="C52" s="18" t="s">
        <v>1341</v>
      </c>
      <c r="E52" s="17" t="s">
        <v>639</v>
      </c>
      <c r="F52" s="17" t="s">
        <v>1340</v>
      </c>
      <c r="J52" s="17" t="s">
        <v>480</v>
      </c>
      <c r="O52" s="17" t="str">
        <f>CONCATENATE("var js",Table13[[#This Row],[ID]]," = document.getElementbyId('",Table13[[#This Row],[ID]],"').innerHTML; //  ",Table13[[#This Row],[Site]])</f>
        <v>var jsTA051 = document.getElementbyId('TA051').innerHTML; //  SBA Learning Platform</v>
      </c>
      <c r="P52" s="17">
        <f ca="1">CONCATENATE("        &lt;!--",A52," - ",C52," --&gt;&lt;div class='column catAll",IF(I52="X"," catArmySites",""),IF(J52="X"," catCombatReadiness",""),IF(K52="X"," catDod",""),IF(M52="X"," catFamily",""),IF(N52="X"," catFinance",""),IF(O52="X"," catHealth",""),IF(P52="X"," catHuman",""),IF(Q52="X"," catLegal",""),IF(R52="X"," catProDev",""),IF(S52="X"," catTech",""),IF(T52="X"," catMilEd",""),IF(U52="X"," catCivEd",""),IF(V52="X"," catUsGov",""),"' style='margin-bottom: 0px;' id='",F52,"'&gt;&lt;a href='",C52,"' rel='noopener noreferrer' class='column hideMarquee'&gt;&lt;div class='armyCardContainer card'&gt;&lt;div class='armyCard'&gt;&lt;div&gt;&lt;p class='marquee'&gt;",D52,"&lt;/p&gt;",IF(H52="Yes","&lt;img src='assets/CaCRequired.png' title='A CAC is required to use some or all features of this site!' Class='cacLocked'&gt;",""),IF(G52="Yes","&lt;img src='assets/DODlock.png' title='This Site requires a DoD network connection to be used!' Class='dodLocked'&gt;",""),"&lt;img src='assets/",#REF!,"' class='cardImage' loading='lazy'&gt;&lt;/div&gt;&lt;div class='title'&gt;&lt;span&gt;",A52,"&lt;/span&gt;&lt;/div&gt;&lt;/div&gt;&lt;/div&gt;&lt;/a&gt;&lt;/div&gt;&lt;script&gt;var js",F52," = document.getElementById('",F52,"').innerHTML;&lt;/script&gt;")</f>
        <v>0</v>
      </c>
      <c r="Q52" s="17" t="str">
        <f t="shared" si="1"/>
        <v xml:space="preserve">    &lt;details class='noSpacing'&gt;&lt;!-- SBA Learning Platform - https://www.sba.gov/sba-learning-platform --&gt;
      &lt;summary&gt;• &lt;a href='https://www.sba.gov/sba-learning-platform' rel='noopener noreferrer'&gt;SBA Learning Platform - https://www.sba.gov/sba-learning-platform&lt;/a&gt;&lt;/summary&gt;
      &lt;p&gt;&lt;/p&gt;
    &lt;/details&gt;</v>
      </c>
      <c r="R52" s="17" t="e">
        <f>CONCATENATE("          &lt;!-- ",#REF!," - ",#REF!," --&gt;&lt;div id='drag",#REF!,"' class='catAll",IF(#REF!="X"," catArmySites",""),IF(A52="X"," catCombatReadiness",""),IF(B52="X"," catDod",""),IF(C52="X"," catFamily",""),IF(#REF!="X"," catFinance",""),IF(D52="X"," catHealth",""),IF(F52="X"," catHuman",""),IF(G52="X"," catLegal",""),IF(H52="X"," catProDev",""),IF(I52="X"," catTech",""),IF(J52="X"," catMilEd",""),IF(K52="X"," catCivEd",""),IF(M52="X","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2" s="17" t="e">
        <f>CONCATENATE("var js",#REF!," = document.getElementbyId('drag",#REF!,"').innerHTML; //  ",#REF!)</f>
        <v>#REF!</v>
      </c>
    </row>
    <row r="53" spans="1:19" x14ac:dyDescent="0.25">
      <c r="A53" s="19" t="s">
        <v>1339</v>
      </c>
      <c r="B53" s="19"/>
      <c r="C53" s="18" t="s">
        <v>1338</v>
      </c>
      <c r="E53" s="17" t="s">
        <v>639</v>
      </c>
      <c r="F53" s="17" t="s">
        <v>1337</v>
      </c>
      <c r="J53" s="17" t="s">
        <v>480</v>
      </c>
      <c r="O53" s="17" t="str">
        <f>CONCATENATE("var js",Table13[[#This Row],[ID]]," = document.getElementbyId('",Table13[[#This Row],[ID]],"').innerHTML; //  ",Table13[[#This Row],[Site]])</f>
        <v>var jsTA052 = document.getElementbyId('TA052').innerHTML; //  SBA Local Assistance</v>
      </c>
      <c r="P53" s="17">
        <f ca="1">CONCATENATE("        &lt;!--",A53," - ",C53," --&gt;&lt;div class='column catAll",IF(I53="X"," catArmySites",""),IF(J53="X"," catCombatReadiness",""),IF(K53="X"," catDod",""),IF(M53="X"," catFamily",""),IF(N53="X"," catFinance",""),IF(O53="X"," catHealth",""),IF(P53="X"," catHuman",""),IF(Q53="X"," catLegal",""),IF(R53="X"," catProDev",""),IF(S53="X"," catTech",""),IF(T53="X"," catMilEd",""),IF(U53="X"," catCivEd",""),IF(V53="X"," catUsGov",""),"' style='margin-bottom: 0px;' id='",F53,"'&gt;&lt;a href='",C53,"' rel='noopener noreferrer' class='column hideMarquee'&gt;&lt;div class='armyCardContainer card'&gt;&lt;div class='armyCard'&gt;&lt;div&gt;&lt;p class='marquee'&gt;",D53,"&lt;/p&gt;",IF(H53="Yes","&lt;img src='assets/CaCRequired.png' title='A CAC is required to use some or all features of this site!' Class='cacLocked'&gt;",""),IF(G53="Yes","&lt;img src='assets/DODlock.png' title='This Site requires a DoD network connection to be used!' Class='dodLocked'&gt;",""),"&lt;img src='assets/",#REF!,"' class='cardImage' loading='lazy'&gt;&lt;/div&gt;&lt;div class='title'&gt;&lt;span&gt;",A53,"&lt;/span&gt;&lt;/div&gt;&lt;/div&gt;&lt;/div&gt;&lt;/a&gt;&lt;/div&gt;&lt;script&gt;var js",F53," = document.getElementById('",F53,"').innerHTML;&lt;/script&gt;")</f>
        <v>0</v>
      </c>
      <c r="Q53" s="17" t="str">
        <f t="shared" si="1"/>
        <v xml:space="preserve">    &lt;details class='noSpacing'&gt;&lt;!-- SBA Local Assistance - https://www.sba.gov/local --&gt;
      &lt;summary&gt;• &lt;a href='https://www.sba.gov/local' rel='noopener noreferrer'&gt;SBA Local Assistance - https://www.sba.gov/local&lt;/a&gt;&lt;/summary&gt;
      &lt;p&gt;&lt;/p&gt;
    &lt;/details&gt;</v>
      </c>
      <c r="R53" s="17" t="e">
        <f>CONCATENATE("          &lt;!-- ",#REF!," - ",#REF!," --&gt;&lt;div id='drag",#REF!,"' class='catAll",IF(#REF!="X"," catArmySites",""),IF(A53="X"," catCombatReadiness",""),IF(B53="X"," catDod",""),IF(C53="X"," catFamily",""),IF(#REF!="X"," catFinance",""),IF(D53="X"," catHealth",""),IF(F53="X"," catHuman",""),IF(G53="X"," catLegal",""),IF(H53="X"," catProDev",""),IF(I53="X"," catTech",""),IF(J53="X"," catMilEd",""),IF(K53="X"," catCivEd",""),IF(M53="X","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3" s="17" t="e">
        <f>CONCATENATE("var js",#REF!," = document.getElementbyId('drag",#REF!,"').innerHTML; //  ",#REF!)</f>
        <v>#REF!</v>
      </c>
    </row>
    <row r="54" spans="1:19" x14ac:dyDescent="0.25">
      <c r="A54" s="19" t="s">
        <v>1336</v>
      </c>
      <c r="B54" s="19"/>
      <c r="C54" s="18" t="s">
        <v>1335</v>
      </c>
      <c r="E54" s="17" t="s">
        <v>639</v>
      </c>
      <c r="F54" s="17" t="s">
        <v>1334</v>
      </c>
      <c r="J54" s="17" t="s">
        <v>480</v>
      </c>
      <c r="O54" s="17" t="str">
        <f>CONCATENATE("var js",Table13[[#This Row],[ID]]," = document.getElementbyId('",Table13[[#This Row],[ID]],"').innerHTML; //  ",Table13[[#This Row],[Site]])</f>
        <v>var jsTA053 = document.getElementbyId('TA053').innerHTML; //  SBA Office of Veterans Business Development</v>
      </c>
      <c r="P54" s="17">
        <f ca="1">CONCATENATE("        &lt;!--",A54," - ",C54," --&gt;&lt;div class='column catAll",IF(I54="X"," catArmySites",""),IF(J54="X"," catCombatReadiness",""),IF(K54="X"," catDod",""),IF(M54="X"," catFamily",""),IF(N54="X"," catFinance",""),IF(O54="X"," catHealth",""),IF(P54="X"," catHuman",""),IF(Q54="X"," catLegal",""),IF(R54="X"," catProDev",""),IF(S54="X"," catTech",""),IF(T54="X"," catMilEd",""),IF(U54="X"," catCivEd",""),IF(V54="X"," catUsGov",""),"' style='margin-bottom: 0px;' id='",F54,"'&gt;&lt;a href='",C54,"' rel='noopener noreferrer' class='column hideMarquee'&gt;&lt;div class='armyCardContainer card'&gt;&lt;div class='armyCard'&gt;&lt;div&gt;&lt;p class='marquee'&gt;",D54,"&lt;/p&gt;",IF(H54="Yes","&lt;img src='assets/CaCRequired.png' title='A CAC is required to use some or all features of this site!' Class='cacLocked'&gt;",""),IF(G54="Yes","&lt;img src='assets/DODlock.png' title='This Site requires a DoD network connection to be used!' Class='dodLocked'&gt;",""),"&lt;img src='assets/",#REF!,"' class='cardImage' loading='lazy'&gt;&lt;/div&gt;&lt;div class='title'&gt;&lt;span&gt;",A54,"&lt;/span&gt;&lt;/div&gt;&lt;/div&gt;&lt;/div&gt;&lt;/a&gt;&lt;/div&gt;&lt;script&gt;var js",F54," = document.getElementById('",F54,"').innerHTML;&lt;/script&gt;")</f>
        <v>0</v>
      </c>
      <c r="Q54" s="17" t="str">
        <f t="shared" si="1"/>
        <v xml:space="preserve">    &lt;details class='noSpacing'&gt;&lt;!-- SBA Office of Veterans Business Development - https://www.sba.gov/ovbd --&gt;
      &lt;summary&gt;• &lt;a href='https://www.sba.gov/ovbd' rel='noopener noreferrer'&gt;SBA Office of Veterans Business Development - https://www.sba.gov/ovbd&lt;/a&gt;&lt;/summary&gt;
      &lt;p&gt;&lt;/p&gt;
    &lt;/details&gt;</v>
      </c>
      <c r="R54" s="17" t="e">
        <f>CONCATENATE("          &lt;!-- ",#REF!," - ",#REF!," --&gt;&lt;div id='drag",#REF!,"' class='catAll",IF(#REF!="X"," catArmySites",""),IF(A54="X"," catCombatReadiness",""),IF(B54="X"," catDod",""),IF(C54="X"," catFamily",""),IF(#REF!="X"," catFinance",""),IF(D54="X"," catHealth",""),IF(F54="X"," catHuman",""),IF(G54="X"," catLegal",""),IF(H54="X"," catProDev",""),IF(I54="X"," catTech",""),IF(J54="X"," catMilEd",""),IF(K54="X"," catCivEd",""),IF(M54="X","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4" s="17" t="e">
        <f>CONCATENATE("var js",#REF!," = document.getElementbyId('drag",#REF!,"').innerHTML; //  ",#REF!)</f>
        <v>#REF!</v>
      </c>
    </row>
    <row r="55" spans="1:19" x14ac:dyDescent="0.25">
      <c r="A55" s="19" t="s">
        <v>1333</v>
      </c>
      <c r="B55" s="19"/>
      <c r="C55" s="18" t="s">
        <v>1332</v>
      </c>
      <c r="E55" s="17" t="s">
        <v>639</v>
      </c>
      <c r="F55" s="17" t="s">
        <v>1331</v>
      </c>
      <c r="I55" s="17" t="s">
        <v>480</v>
      </c>
      <c r="M55" s="17" t="s">
        <v>480</v>
      </c>
      <c r="O55" s="17" t="str">
        <f>CONCATENATE("var js",Table13[[#This Row],[ID]]," = document.getElementbyId('",Table13[[#This Row],[ID]],"').innerHTML; //  ",Table13[[#This Row],[Site]])</f>
        <v>var jsTA054 = document.getElementbyId('TA054').innerHTML; //  Service-Disabled Veterans Life Insurance (S-DVI)</v>
      </c>
      <c r="P55" s="17">
        <f ca="1">CONCATENATE("        &lt;!--",A55," - ",C55," --&gt;&lt;div class='column catAll",IF(I55="X"," catArmySites",""),IF(J55="X"," catCombatReadiness",""),IF(K55="X"," catDod",""),IF(M55="X"," catFamily",""),IF(N55="X"," catFinance",""),IF(O55="X"," catHealth",""),IF(P55="X"," catHuman",""),IF(Q55="X"," catLegal",""),IF(R55="X"," catProDev",""),IF(S55="X"," catTech",""),IF(T55="X"," catMilEd",""),IF(U55="X"," catCivEd",""),IF(V55="X"," catUsGov",""),"' style='margin-bottom: 0px;' id='",F55,"'&gt;&lt;a href='",C55,"' rel='noopener noreferrer' class='column hideMarquee'&gt;&lt;div class='armyCardContainer card'&gt;&lt;div class='armyCard'&gt;&lt;div&gt;&lt;p class='marquee'&gt;",D55,"&lt;/p&gt;",IF(H55="Yes","&lt;img src='assets/CaCRequired.png' title='A CAC is required to use some or all features of this site!' Class='cacLocked'&gt;",""),IF(G55="Yes","&lt;img src='assets/DODlock.png' title='This Site requires a DoD network connection to be used!' Class='dodLocked'&gt;",""),"&lt;img src='assets/",#REF!,"' class='cardImage' loading='lazy'&gt;&lt;/div&gt;&lt;div class='title'&gt;&lt;span&gt;",A55,"&lt;/span&gt;&lt;/div&gt;&lt;/div&gt;&lt;/div&gt;&lt;/a&gt;&lt;/div&gt;&lt;script&gt;var js",F55," = document.getElementById('",F55,"').innerHTML;&lt;/script&gt;")</f>
        <v>0</v>
      </c>
      <c r="Q55" s="17" t="str">
        <f t="shared" si="1"/>
        <v xml:space="preserve">    &lt;details class='noSpacing'&gt;&lt;!-- Service-Disabled Veterans Life Insurance (S-DVI) - https://www.va.gov/life-insurance/options-eligibility/s-dvi --&gt;
      &lt;summary&gt;• &lt;a href='https://www.va.gov/life-insurance/options-eligibility/s-dvi' rel='noopener noreferrer'&gt;Service-Disabled Veterans Life Insurance (S-DVI) - https://www.va.gov/life-insurance/options-eligibility/s-dvi&lt;/a&gt;&lt;/summary&gt;
      &lt;p&gt;&lt;/p&gt;
    &lt;/details&gt;</v>
      </c>
      <c r="R55" s="17" t="e">
        <f>CONCATENATE("          &lt;!-- ",#REF!," - ",#REF!," --&gt;&lt;div id='drag",#REF!,"' class='catAll",IF(#REF!="X"," catArmySites",""),IF(A55="X"," catCombatReadiness",""),IF(B55="X"," catDod",""),IF(C55="X"," catFamily",""),IF(#REF!="X"," catFinance",""),IF(D55="X"," catHealth",""),IF(F55="X"," catHuman",""),IF(G55="X"," catLegal",""),IF(H55="X"," catProDev",""),IF(I55="X"," catTech",""),IF(J55="X"," catMilEd",""),IF(K55="X"," catCivEd",""),IF(M55="X","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5" s="17" t="e">
        <f>CONCATENATE("var js",#REF!," = document.getElementbyId('drag",#REF!,"').innerHTML; //  ",#REF!)</f>
        <v>#REF!</v>
      </c>
    </row>
    <row r="56" spans="1:19" x14ac:dyDescent="0.25">
      <c r="A56" s="19" t="s">
        <v>1330</v>
      </c>
      <c r="B56" s="19"/>
      <c r="C56" s="18" t="s">
        <v>1329</v>
      </c>
      <c r="E56" s="17" t="s">
        <v>639</v>
      </c>
      <c r="F56" s="17" t="s">
        <v>1328</v>
      </c>
      <c r="I56" s="17" t="s">
        <v>480</v>
      </c>
      <c r="M56" s="17" t="s">
        <v>480</v>
      </c>
      <c r="O56" s="17" t="str">
        <f>CONCATENATE("var js",Table13[[#This Row],[ID]]," = document.getElementbyId('",Table13[[#This Row],[ID]],"').innerHTML; //  ",Table13[[#This Row],[Site]])</f>
        <v>var jsTA055 = document.getElementbyId('TA055').innerHTML; //  Servicemembers’ Group Life Insurance (SGLI)</v>
      </c>
      <c r="P56" s="17">
        <f ca="1">CONCATENATE("        &lt;!--",A56," - ",C56," --&gt;&lt;div class='column catAll",IF(I56="X"," catArmySites",""),IF(J56="X"," catCombatReadiness",""),IF(K56="X"," catDod",""),IF(M56="X"," catFamily",""),IF(N56="X"," catFinance",""),IF(O56="X"," catHealth",""),IF(P56="X"," catHuman",""),IF(Q56="X"," catLegal",""),IF(R56="X"," catProDev",""),IF(S56="X"," catTech",""),IF(T56="X"," catMilEd",""),IF(U56="X"," catCivEd",""),IF(V56="X"," catUsGov",""),"' style='margin-bottom: 0px;' id='",F56,"'&gt;&lt;a href='",C56,"' rel='noopener noreferrer' class='column hideMarquee'&gt;&lt;div class='armyCardContainer card'&gt;&lt;div class='armyCard'&gt;&lt;div&gt;&lt;p class='marquee'&gt;",D56,"&lt;/p&gt;",IF(H56="Yes","&lt;img src='assets/CaCRequired.png' title='A CAC is required to use some or all features of this site!' Class='cacLocked'&gt;",""),IF(G56="Yes","&lt;img src='assets/DODlock.png' title='This Site requires a DoD network connection to be used!' Class='dodLocked'&gt;",""),"&lt;img src='assets/",#REF!,"' class='cardImage' loading='lazy'&gt;&lt;/div&gt;&lt;div class='title'&gt;&lt;span&gt;",A56,"&lt;/span&gt;&lt;/div&gt;&lt;/div&gt;&lt;/div&gt;&lt;/a&gt;&lt;/div&gt;&lt;script&gt;var js",F56," = document.getElementById('",F56,"').innerHTML;&lt;/script&gt;")</f>
        <v>0</v>
      </c>
      <c r="Q56" s="17" t="str">
        <f t="shared" si="1"/>
        <v xml:space="preserve">    &lt;details class='noSpacing'&gt;&lt;!-- Servicemembers’ Group Life Insurance (SGLI) - https://www.va.gov/life-insurance/options-eligibility/sgli --&gt;
      &lt;summary&gt;• &lt;a href='https://www.va.gov/life-insurance/options-eligibility/sgli' rel='noopener noreferrer'&gt;Servicemembers’ Group Life Insurance (SGLI) - https://www.va.gov/life-insurance/options-eligibility/sgli&lt;/a&gt;&lt;/summary&gt;
      &lt;p&gt;&lt;/p&gt;
    &lt;/details&gt;</v>
      </c>
      <c r="R56" s="17" t="e">
        <f>CONCATENATE("          &lt;!-- ",#REF!," - ",#REF!," --&gt;&lt;div id='drag",#REF!,"' class='catAll",IF(#REF!="X"," catArmySites",""),IF(A56="X"," catCombatReadiness",""),IF(B56="X"," catDod",""),IF(C56="X"," catFamily",""),IF(#REF!="X"," catFinance",""),IF(D56="X"," catHealth",""),IF(F56="X"," catHuman",""),IF(G56="X"," catLegal",""),IF(H56="X"," catProDev",""),IF(I56="X"," catTech",""),IF(J56="X"," catMilEd",""),IF(K56="X"," catCivEd",""),IF(M56="X","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6" s="17" t="e">
        <f>CONCATENATE("var js",#REF!," = document.getElementbyId('drag",#REF!,"').innerHTML; //  ",#REF!)</f>
        <v>#REF!</v>
      </c>
    </row>
    <row r="57" spans="1:19" x14ac:dyDescent="0.25">
      <c r="A57" s="19" t="s">
        <v>1327</v>
      </c>
      <c r="B57" s="19"/>
      <c r="C57" s="18" t="s">
        <v>1326</v>
      </c>
      <c r="E57" s="17" t="s">
        <v>639</v>
      </c>
      <c r="F57" s="17" t="s">
        <v>1325</v>
      </c>
      <c r="G57" s="17" t="s">
        <v>480</v>
      </c>
      <c r="H57" s="17" t="s">
        <v>480</v>
      </c>
      <c r="O57" s="17" t="str">
        <f>CONCATENATE("var js",Table13[[#This Row],[ID]]," = document.getElementbyId('",Table13[[#This Row],[ID]],"').innerHTML; //  ",Table13[[#This Row],[Site]])</f>
        <v>var jsTA056 = document.getElementbyId('TA056').innerHTML; //  SNAP State Directory of Resources</v>
      </c>
      <c r="P57" s="17">
        <f ca="1">CONCATENATE("        &lt;!--",A57," - ",C57," --&gt;&lt;div class='column catAll",IF(I57="X"," catArmySites",""),IF(J57="X"," catCombatReadiness",""),IF(K57="X"," catDod",""),IF(M57="X"," catFamily",""),IF(N57="X"," catFinance",""),IF(O57="X"," catHealth",""),IF(P57="X"," catHuman",""),IF(Q57="X"," catLegal",""),IF(R57="X"," catProDev",""),IF(S57="X"," catTech",""),IF(T57="X"," catMilEd",""),IF(U57="X"," catCivEd",""),IF(V57="X"," catUsGov",""),"' style='margin-bottom: 0px;' id='",F57,"'&gt;&lt;a href='",C57,"' rel='noopener noreferrer' class='column hideMarquee'&gt;&lt;div class='armyCardContainer card'&gt;&lt;div class='armyCard'&gt;&lt;div&gt;&lt;p class='marquee'&gt;",D57,"&lt;/p&gt;",IF(H57="Yes","&lt;img src='assets/CaCRequired.png' title='A CAC is required to use some or all features of this site!' Class='cacLocked'&gt;",""),IF(G57="Yes","&lt;img src='assets/DODlock.png' title='This Site requires a DoD network connection to be used!' Class='dodLocked'&gt;",""),"&lt;img src='assets/",#REF!,"' class='cardImage' loading='lazy'&gt;&lt;/div&gt;&lt;div class='title'&gt;&lt;span&gt;",A57,"&lt;/span&gt;&lt;/div&gt;&lt;/div&gt;&lt;/div&gt;&lt;/a&gt;&lt;/div&gt;&lt;script&gt;var js",F57," = document.getElementById('",F57,"').innerHTML;&lt;/script&gt;")</f>
        <v>0</v>
      </c>
      <c r="Q57" s="17" t="str">
        <f t="shared" si="1"/>
        <v xml:space="preserve">    &lt;details class='noSpacing'&gt;&lt;!-- SNAP State Directory of Resources - https://www.fns.usda.gov/snap/state-directory --&gt;
      &lt;summary&gt;• &lt;a href='https://www.fns.usda.gov/snap/state-directory' rel='noopener noreferrer'&gt;SNAP State Directory of Resources - https://www.fns.usda.gov/snap/state-directory&lt;/a&gt;&lt;/summary&gt;
      &lt;p&gt;&lt;/p&gt;
    &lt;/details&gt;</v>
      </c>
      <c r="R57" s="17" t="e">
        <f>CONCATENATE("          &lt;!-- ",#REF!," - ",#REF!," --&gt;&lt;div id='drag",#REF!,"' class='catAll",IF(#REF!="X"," catArmySites",""),IF(A57="X"," catCombatReadiness",""),IF(B57="X"," catDod",""),IF(C57="X"," catFamily",""),IF(#REF!="X"," catFinance",""),IF(D57="X"," catHealth",""),IF(F57="X"," catHuman",""),IF(G57="X"," catLegal",""),IF(H57="X"," catProDev",""),IF(I57="X"," catTech",""),IF(J57="X"," catMilEd",""),IF(K57="X"," catCivEd",""),IF(M57="X","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7" s="17" t="e">
        <f>CONCATENATE("var js",#REF!," = document.getElementbyId('drag",#REF!,"').innerHTML; //  ",#REF!)</f>
        <v>#REF!</v>
      </c>
    </row>
    <row r="58" spans="1:19" x14ac:dyDescent="0.25">
      <c r="A58" s="19" t="s">
        <v>1324</v>
      </c>
      <c r="B58" s="19"/>
      <c r="C58" s="18" t="s">
        <v>1323</v>
      </c>
      <c r="E58" s="17" t="s">
        <v>639</v>
      </c>
      <c r="F58" s="17" t="s">
        <v>1322</v>
      </c>
      <c r="J58" s="17" t="s">
        <v>480</v>
      </c>
      <c r="O58" s="17" t="str">
        <f>CONCATENATE("var js",Table13[[#This Row],[ID]]," = document.getElementbyId('",Table13[[#This Row],[ID]],"').innerHTML; //  ",Table13[[#This Row],[Site]])</f>
        <v>var jsTA057 = document.getElementbyId('TA057').innerHTML; //  Solder For Life Transition Assistance Program</v>
      </c>
      <c r="P58" s="17">
        <f ca="1">CONCATENATE("        &lt;!--",A58," - ",C58," --&gt;&lt;div class='column catAll",IF(I58="X"," catArmySites",""),IF(J58="X"," catCombatReadiness",""),IF(K58="X"," catDod",""),IF(M58="X"," catFamily",""),IF(N58="X"," catFinance",""),IF(O58="X"," catHealth",""),IF(P58="X"," catHuman",""),IF(Q58="X"," catLegal",""),IF(R58="X"," catProDev",""),IF(S58="X"," catTech",""),IF(T58="X"," catMilEd",""),IF(U58="X"," catCivEd",""),IF(V58="X"," catUsGov",""),"' style='margin-bottom: 0px;' id='",F58,"'&gt;&lt;a href='",C58,"' rel='noopener noreferrer' class='column hideMarquee'&gt;&lt;div class='armyCardContainer card'&gt;&lt;div class='armyCard'&gt;&lt;div&gt;&lt;p class='marquee'&gt;",D58,"&lt;/p&gt;",IF(H58="Yes","&lt;img src='assets/CaCRequired.png' title='A CAC is required to use some or all features of this site!' Class='cacLocked'&gt;",""),IF(G58="Yes","&lt;img src='assets/DODlock.png' title='This Site requires a DoD network connection to be used!' Class='dodLocked'&gt;",""),"&lt;img src='assets/",#REF!,"' class='cardImage' loading='lazy'&gt;&lt;/div&gt;&lt;div class='title'&gt;&lt;span&gt;",A58,"&lt;/span&gt;&lt;/div&gt;&lt;/div&gt;&lt;/div&gt;&lt;/a&gt;&lt;/div&gt;&lt;script&gt;var js",F58," = document.getElementById('",F58,"').innerHTML;&lt;/script&gt;")</f>
        <v>0</v>
      </c>
      <c r="Q58" s="17" t="str">
        <f t="shared" si="1"/>
        <v xml:space="preserve">    &lt;details class='noSpacing'&gt;&lt;!-- Solder For Life Transition Assistance Program - https://portal.armytap.army.mil --&gt;
      &lt;summary&gt;• &lt;a href='https://portal.armytap.army.mil' rel='noopener noreferrer'&gt;Solder For Life Transition Assistance Program - https://portal.armytap.army.mil&lt;/a&gt;&lt;/summary&gt;
      &lt;p&gt;&lt;/p&gt;
    &lt;/details&gt;</v>
      </c>
      <c r="R58" s="17" t="e">
        <f>CONCATENATE("          &lt;!-- ",#REF!," - ",#REF!," --&gt;&lt;div id='drag",#REF!,"' class='catAll",IF(#REF!="X"," catArmySites",""),IF(A58="X"," catCombatReadiness",""),IF(B58="X"," catDod",""),IF(C58="X"," catFamily",""),IF(#REF!="X"," catFinance",""),IF(D58="X"," catHealth",""),IF(F58="X"," catHuman",""),IF(G58="X"," catLegal",""),IF(H58="X"," catProDev",""),IF(I58="X"," catTech",""),IF(J58="X"," catMilEd",""),IF(K58="X"," catCivEd",""),IF(M58="X","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8" s="17" t="e">
        <f>CONCATENATE("var js",#REF!," = document.getElementbyId('drag",#REF!,"').innerHTML; //  ",#REF!)</f>
        <v>#REF!</v>
      </c>
    </row>
    <row r="59" spans="1:19" x14ac:dyDescent="0.25">
      <c r="A59" s="19" t="s">
        <v>1321</v>
      </c>
      <c r="B59" s="19"/>
      <c r="C59" s="18" t="s">
        <v>1320</v>
      </c>
      <c r="E59" s="17" t="s">
        <v>639</v>
      </c>
      <c r="F59" s="17" t="s">
        <v>1319</v>
      </c>
      <c r="I59" s="17" t="s">
        <v>480</v>
      </c>
      <c r="M59" s="17" t="s">
        <v>480</v>
      </c>
      <c r="O59" s="17" t="str">
        <f>CONCATENATE("var js",Table13[[#This Row],[ID]]," = document.getElementbyId('",Table13[[#This Row],[ID]],"').innerHTML; //  ",Table13[[#This Row],[Site]])</f>
        <v xml:space="preserve">var jsTA058 = document.getElementbyId('TA058').innerHTML; //  Survivor and dependent compensation (DIC) </v>
      </c>
      <c r="P59" s="17">
        <f ca="1">CONCATENATE("        &lt;!--",A59," - ",C59," --&gt;&lt;div class='column catAll",IF(I59="X"," catArmySites",""),IF(J59="X"," catCombatReadiness",""),IF(K59="X"," catDod",""),IF(M59="X"," catFamily",""),IF(N59="X"," catFinance",""),IF(O59="X"," catHealth",""),IF(P59="X"," catHuman",""),IF(Q59="X"," catLegal",""),IF(R59="X"," catProDev",""),IF(S59="X"," catTech",""),IF(T59="X"," catMilEd",""),IF(U59="X"," catCivEd",""),IF(V59="X"," catUsGov",""),"' style='margin-bottom: 0px;' id='",F59,"'&gt;&lt;a href='",C59,"' rel='noopener noreferrer' class='column hideMarquee'&gt;&lt;div class='armyCardContainer card'&gt;&lt;div class='armyCard'&gt;&lt;div&gt;&lt;p class='marquee'&gt;",D59,"&lt;/p&gt;",IF(H59="Yes","&lt;img src='assets/CaCRequired.png' title='A CAC is required to use some or all features of this site!' Class='cacLocked'&gt;",""),IF(G59="Yes","&lt;img src='assets/DODlock.png' title='This Site requires a DoD network connection to be used!' Class='dodLocked'&gt;",""),"&lt;img src='assets/",#REF!,"' class='cardImage' loading='lazy'&gt;&lt;/div&gt;&lt;div class='title'&gt;&lt;span&gt;",A59,"&lt;/span&gt;&lt;/div&gt;&lt;/div&gt;&lt;/div&gt;&lt;/a&gt;&lt;/div&gt;&lt;script&gt;var js",F59," = document.getElementById('",F59,"').innerHTML;&lt;/script&gt;")</f>
        <v>0</v>
      </c>
      <c r="Q59" s="17" t="str">
        <f t="shared" si="1"/>
        <v xml:space="preserve">    &lt;details class='noSpacing'&gt;&lt;!-- Survivor and dependent compensation (DIC)  - https://www.va.gov/disability/dependency-indemnity-compensation --&gt;
      &lt;summary&gt;• &lt;a href='https://www.va.gov/disability/dependency-indemnity-compensation' rel='noopener noreferrer'&gt;Survivor and dependent compensation (DIC)  - https://www.va.gov/disability/dependency-indemnity-compensation&lt;/a&gt;&lt;/summary&gt;
      &lt;p&gt;&lt;/p&gt;
    &lt;/details&gt;</v>
      </c>
      <c r="R59" s="17" t="e">
        <f>CONCATENATE("          &lt;!-- ",#REF!," - ",#REF!," --&gt;&lt;div id='drag",#REF!,"' class='catAll",IF(#REF!="X"," catArmySites",""),IF(A59="X"," catCombatReadiness",""),IF(B59="X"," catDod",""),IF(C59="X"," catFamily",""),IF(#REF!="X"," catFinance",""),IF(D59="X"," catHealth",""),IF(F59="X"," catHuman",""),IF(G59="X"," catLegal",""),IF(H59="X"," catProDev",""),IF(I59="X"," catTech",""),IF(J59="X"," catMilEd",""),IF(K59="X"," catCivEd",""),IF(M59="X","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59" s="17" t="e">
        <f>CONCATENATE("var js",#REF!," = document.getElementbyId('drag",#REF!,"').innerHTML; //  ",#REF!)</f>
        <v>#REF!</v>
      </c>
    </row>
    <row r="60" spans="1:19" x14ac:dyDescent="0.25">
      <c r="A60" s="19" t="s">
        <v>1318</v>
      </c>
      <c r="B60" s="19"/>
      <c r="C60" s="18" t="s">
        <v>1317</v>
      </c>
      <c r="E60" s="17" t="s">
        <v>639</v>
      </c>
      <c r="F60" s="17" t="s">
        <v>1316</v>
      </c>
      <c r="I60" s="17" t="s">
        <v>480</v>
      </c>
      <c r="K60" s="17" t="s">
        <v>480</v>
      </c>
      <c r="O60" s="17" t="str">
        <f>CONCATENATE("var js",Table13[[#This Row],[ID]]," = document.getElementbyId('",Table13[[#This Row],[ID]],"').innerHTML; //  ",Table13[[#This Row],[Site]])</f>
        <v>var jsTA059 = document.getElementbyId('TA059').innerHTML; //  Survivors’ and Dependents’ Educational Assistance</v>
      </c>
      <c r="P60" s="17">
        <f ca="1">CONCATENATE("        &lt;!--",A60," - ",C60," --&gt;&lt;div class='column catAll",IF(I60="X"," catArmySites",""),IF(J60="X"," catCombatReadiness",""),IF(K60="X"," catDod",""),IF(M60="X"," catFamily",""),IF(N60="X"," catFinance",""),IF(O60="X"," catHealth",""),IF(P60="X"," catHuman",""),IF(Q60="X"," catLegal",""),IF(R60="X"," catProDev",""),IF(S60="X"," catTech",""),IF(T60="X"," catMilEd",""),IF(U60="X"," catCivEd",""),IF(V60="X"," catUsGov",""),"' style='margin-bottom: 0px;' id='",F60,"'&gt;&lt;a href='",C60,"' rel='noopener noreferrer' class='column hideMarquee'&gt;&lt;div class='armyCardContainer card'&gt;&lt;div class='armyCard'&gt;&lt;div&gt;&lt;p class='marquee'&gt;",D60,"&lt;/p&gt;",IF(H60="Yes","&lt;img src='assets/CaCRequired.png' title='A CAC is required to use some or all features of this site!' Class='cacLocked'&gt;",""),IF(G60="Yes","&lt;img src='assets/DODlock.png' title='This Site requires a DoD network connection to be used!' Class='dodLocked'&gt;",""),"&lt;img src='assets/",#REF!,"' class='cardImage' loading='lazy'&gt;&lt;/div&gt;&lt;div class='title'&gt;&lt;span&gt;",A60,"&lt;/span&gt;&lt;/div&gt;&lt;/div&gt;&lt;/div&gt;&lt;/a&gt;&lt;/div&gt;&lt;script&gt;var js",F60," = document.getElementById('",F60,"').innerHTML;&lt;/script&gt;")</f>
        <v>0</v>
      </c>
      <c r="Q60" s="17" t="str">
        <f t="shared" si="1"/>
        <v xml:space="preserve">    &lt;details class='noSpacing'&gt;&lt;!-- Survivors’ and Dependents’ Educational Assistance - https://www.va.gov/education/survivor-dependent-benefits/dependents-education-assistance --&gt;
      &lt;summary&gt;• &lt;a href='https://www.va.gov/education/survivor-dependent-benefits/dependents-education-assistance' rel='noopener noreferrer'&gt;Survivors’ and Dependents’ Educational Assistance - https://www.va.gov/education/survivor-dependent-benefits/dependents-education-assistance&lt;/a&gt;&lt;/summary&gt;
      &lt;p&gt;&lt;/p&gt;
    &lt;/details&gt;</v>
      </c>
      <c r="R60" s="17" t="e">
        <f>CONCATENATE("          &lt;!-- ",#REF!," - ",#REF!," --&gt;&lt;div id='drag",#REF!,"' class='catAll",IF(#REF!="X"," catArmySites",""),IF(A60="X"," catCombatReadiness",""),IF(B60="X"," catDod",""),IF(C60="X"," catFamily",""),IF(#REF!="X"," catFinance",""),IF(D60="X"," catHealth",""),IF(F60="X"," catHuman",""),IF(G60="X"," catLegal",""),IF(H60="X"," catProDev",""),IF(I60="X"," catTech",""),IF(J60="X"," catMilEd",""),IF(K60="X"," catCivEd",""),IF(M60="X","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0" s="17" t="e">
        <f>CONCATENATE("var js",#REF!," = document.getElementbyId('drag",#REF!,"').innerHTML; //  ",#REF!)</f>
        <v>#REF!</v>
      </c>
    </row>
    <row r="61" spans="1:19" x14ac:dyDescent="0.25">
      <c r="A61" s="17" t="s">
        <v>1315</v>
      </c>
      <c r="B61" s="19"/>
      <c r="C61" s="18" t="s">
        <v>1314</v>
      </c>
      <c r="E61" s="17" t="s">
        <v>639</v>
      </c>
      <c r="F61" s="17" t="s">
        <v>1313</v>
      </c>
      <c r="G61" s="17" t="s">
        <v>480</v>
      </c>
      <c r="N61" s="17" t="s">
        <v>480</v>
      </c>
      <c r="O61" s="17" t="str">
        <f>CONCATENATE("var js",Table13[[#This Row],[ID]]," = document.getElementbyId('",Table13[[#This Row],[ID]],"').innerHTML; //  ",Table13[[#This Row],[Site]])</f>
        <v>var jsTA060 = document.getElementbyId('TA060').innerHTML; //  Transition Assistance Participant Assessment.</v>
      </c>
      <c r="P61" s="17">
        <f ca="1">CONCATENATE("        &lt;!--",A61," - ",C61," --&gt;&lt;div class='column catAll",IF(I61="X"," catArmySites",""),IF(J61="X"," catCombatReadiness",""),IF(K61="X"," catDod",""),IF(M61="X"," catFamily",""),IF(N61="X"," catFinance",""),IF(O61="X"," catHealth",""),IF(P61="X"," catHuman",""),IF(Q61="X"," catLegal",""),IF(R61="X"," catProDev",""),IF(S61="X"," catTech",""),IF(T61="X"," catMilEd",""),IF(U61="X"," catCivEd",""),IF(V61="X"," catUsGov",""),"' style='margin-bottom: 0px;' id='",F61,"'&gt;&lt;a href='",C61,"' rel='noopener noreferrer' class='column hideMarquee'&gt;&lt;div class='armyCardContainer card'&gt;&lt;div class='armyCard'&gt;&lt;div&gt;&lt;p class='marquee'&gt;",D61,"&lt;/p&gt;",IF(H61="Yes","&lt;img src='assets/CaCRequired.png' title='A CAC is required to use some or all features of this site!' Class='cacLocked'&gt;",""),IF(G61="Yes","&lt;img src='assets/DODlock.png' title='This Site requires a DoD network connection to be used!' Class='dodLocked'&gt;",""),"&lt;img src='assets/",#REF!,"' class='cardImage' loading='lazy'&gt;&lt;/div&gt;&lt;div class='title'&gt;&lt;span&gt;",A61,"&lt;/span&gt;&lt;/div&gt;&lt;/div&gt;&lt;/div&gt;&lt;/a&gt;&lt;/div&gt;&lt;script&gt;var js",F61," = document.getElementById('",F61,"').innerHTML;&lt;/script&gt;")</f>
        <v>0</v>
      </c>
      <c r="Q61" s="17" t="str">
        <f t="shared" si="1"/>
        <v xml:space="preserve">    &lt;details class='noSpacing'&gt;&lt;!-- Transition Assistance Participant Assessment. - https://www.dodsurveys.mil/tgpsp --&gt;
      &lt;summary&gt;• &lt;a href='https://www.dodsurveys.mil/tgpsp' rel='noopener noreferrer'&gt;Transition Assistance Participant Assessment. - https://www.dodsurveys.mil/tgpsp&lt;/a&gt;&lt;/summary&gt;
      &lt;p&gt;&lt;/p&gt;
    &lt;/details&gt;</v>
      </c>
      <c r="R61" s="17" t="e">
        <f>CONCATENATE("          &lt;!-- ",#REF!," - ",#REF!," --&gt;&lt;div id='drag",#REF!,"' class='catAll",IF(#REF!="X"," catArmySites",""),IF(A61="X"," catCombatReadiness",""),IF(B61="X"," catDod",""),IF(C61="X"," catFamily",""),IF(#REF!="X"," catFinance",""),IF(D61="X"," catHealth",""),IF(F61="X"," catHuman",""),IF(G61="X"," catLegal",""),IF(H61="X"," catProDev",""),IF(I61="X"," catTech",""),IF(J61="X"," catMilEd",""),IF(K61="X"," catCivEd",""),IF(M61="X","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1" s="17" t="e">
        <f>CONCATENATE("var js",#REF!," = document.getElementbyId('drag",#REF!,"').innerHTML; //  ",#REF!)</f>
        <v>#REF!</v>
      </c>
    </row>
    <row r="62" spans="1:19" x14ac:dyDescent="0.25">
      <c r="A62" s="19" t="s">
        <v>1312</v>
      </c>
      <c r="B62" s="19"/>
      <c r="C62" s="18" t="s">
        <v>1311</v>
      </c>
      <c r="E62" s="17" t="s">
        <v>639</v>
      </c>
      <c r="F62" s="17" t="s">
        <v>1310</v>
      </c>
      <c r="G62" s="17" t="s">
        <v>480</v>
      </c>
      <c r="O62" s="17" t="str">
        <f>CONCATENATE("var js",Table13[[#This Row],[ID]]," = document.getElementbyId('",Table13[[#This Row],[ID]],"').innerHTML; //  ",Table13[[#This Row],[Site]])</f>
        <v>var jsTA061 = document.getElementbyId('TA061').innerHTML; //  Transition Assistance Program</v>
      </c>
      <c r="P62" s="17">
        <f ca="1">CONCATENATE("        &lt;!--",A62," - ",C62," --&gt;&lt;div class='column catAll",IF(I62="X"," catArmySites",""),IF(J62="X"," catCombatReadiness",""),IF(K62="X"," catDod",""),IF(M62="X"," catFamily",""),IF(N62="X"," catFinance",""),IF(O62="X"," catHealth",""),IF(P62="X"," catHuman",""),IF(Q62="X"," catLegal",""),IF(R62="X"," catProDev",""),IF(S62="X"," catTech",""),IF(T62="X"," catMilEd",""),IF(U62="X"," catCivEd",""),IF(V62="X"," catUsGov",""),"' style='margin-bottom: 0px;' id='",F62,"'&gt;&lt;a href='",C62,"' rel='noopener noreferrer' class='column hideMarquee'&gt;&lt;div class='armyCardContainer card'&gt;&lt;div class='armyCard'&gt;&lt;div&gt;&lt;p class='marquee'&gt;",D62,"&lt;/p&gt;",IF(H62="Yes","&lt;img src='assets/CaCRequired.png' title='A CAC is required to use some or all features of this site!' Class='cacLocked'&gt;",""),IF(G62="Yes","&lt;img src='assets/DODlock.png' title='This Site requires a DoD network connection to be used!' Class='dodLocked'&gt;",""),"&lt;img src='assets/",#REF!,"' class='cardImage' loading='lazy'&gt;&lt;/div&gt;&lt;div class='title'&gt;&lt;span&gt;",A62,"&lt;/span&gt;&lt;/div&gt;&lt;/div&gt;&lt;/div&gt;&lt;/a&gt;&lt;/div&gt;&lt;script&gt;var js",F62," = document.getElementById('",F62,"').innerHTML;&lt;/script&gt;")</f>
        <v>0</v>
      </c>
      <c r="Q62" s="17" t="str">
        <f t="shared" si="1"/>
        <v xml:space="preserve">    &lt;details class='noSpacing'&gt;&lt;!-- Transition Assistance Program - https://tapevents.mil --&gt;
      &lt;summary&gt;• &lt;a href='https://tapevents.mil' rel='noopener noreferrer'&gt;Transition Assistance Program - https://tapevents.mil&lt;/a&gt;&lt;/summary&gt;
      &lt;p&gt;&lt;/p&gt;
    &lt;/details&gt;</v>
      </c>
      <c r="R62" s="17" t="e">
        <f>CONCATENATE("          &lt;!-- ",#REF!," - ",#REF!," --&gt;&lt;div id='drag",#REF!,"' class='catAll",IF(#REF!="X"," catArmySites",""),IF(A62="X"," catCombatReadiness",""),IF(B62="X"," catDod",""),IF(C62="X"," catFamily",""),IF(#REF!="X"," catFinance",""),IF(D62="X"," catHealth",""),IF(F62="X"," catHuman",""),IF(G62="X"," catLegal",""),IF(H62="X"," catProDev",""),IF(I62="X"," catTech",""),IF(J62="X"," catMilEd",""),IF(K62="X"," catCivEd",""),IF(M62="X","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2" s="17" t="e">
        <f>CONCATENATE("var js",#REF!," = document.getElementbyId('drag",#REF!,"').innerHTML; //  ",#REF!)</f>
        <v>#REF!</v>
      </c>
    </row>
    <row r="63" spans="1:19" x14ac:dyDescent="0.25">
      <c r="A63" s="19" t="s">
        <v>1309</v>
      </c>
      <c r="B63" s="19"/>
      <c r="C63" s="18" t="s">
        <v>1308</v>
      </c>
      <c r="E63" s="17" t="s">
        <v>639</v>
      </c>
      <c r="F63" s="17" t="s">
        <v>1307</v>
      </c>
      <c r="I63" s="17" t="s">
        <v>480</v>
      </c>
      <c r="M63" s="17" t="s">
        <v>480</v>
      </c>
      <c r="O63" s="17" t="str">
        <f>CONCATENATE("var js",Table13[[#This Row],[ID]]," = document.getElementbyId('",Table13[[#This Row],[ID]],"').innerHTML; //  ",Table13[[#This Row],[Site]])</f>
        <v>var jsTA062 = document.getElementbyId('TA062').innerHTML; //  Traumatic Injury Protection (TSGLI)</v>
      </c>
      <c r="P63" s="17">
        <f ca="1">CONCATENATE("        &lt;!--",A63," - ",C63," --&gt;&lt;div class='column catAll",IF(I63="X"," catArmySites",""),IF(J63="X"," catCombatReadiness",""),IF(K63="X"," catDod",""),IF(M63="X"," catFamily",""),IF(N63="X"," catFinance",""),IF(O63="X"," catHealth",""),IF(P63="X"," catHuman",""),IF(Q63="X"," catLegal",""),IF(R63="X"," catProDev",""),IF(S63="X"," catTech",""),IF(T63="X"," catMilEd",""),IF(U63="X"," catCivEd",""),IF(V63="X"," catUsGov",""),"' style='margin-bottom: 0px;' id='",F63,"'&gt;&lt;a href='",C63,"' rel='noopener noreferrer' class='column hideMarquee'&gt;&lt;div class='armyCardContainer card'&gt;&lt;div class='armyCard'&gt;&lt;div&gt;&lt;p class='marquee'&gt;",D63,"&lt;/p&gt;",IF(H63="Yes","&lt;img src='assets/CaCRequired.png' title='A CAC is required to use some or all features of this site!' Class='cacLocked'&gt;",""),IF(G63="Yes","&lt;img src='assets/DODlock.png' title='This Site requires a DoD network connection to be used!' Class='dodLocked'&gt;",""),"&lt;img src='assets/",#REF!,"' class='cardImage' loading='lazy'&gt;&lt;/div&gt;&lt;div class='title'&gt;&lt;span&gt;",A63,"&lt;/span&gt;&lt;/div&gt;&lt;/div&gt;&lt;/div&gt;&lt;/a&gt;&lt;/div&gt;&lt;script&gt;var js",F63," = document.getElementById('",F63,"').innerHTML;&lt;/script&gt;")</f>
        <v>0</v>
      </c>
      <c r="Q63" s="17" t="str">
        <f t="shared" si="1"/>
        <v xml:space="preserve">    &lt;details class='noSpacing'&gt;&lt;!-- Traumatic Injury Protection (TSGLI) - https://www.va.gov/life-insurance/options-eligibility/tsgli --&gt;
      &lt;summary&gt;• &lt;a href='https://www.va.gov/life-insurance/options-eligibility/tsgli' rel='noopener noreferrer'&gt;Traumatic Injury Protection (TSGLI) - https://www.va.gov/life-insurance/options-eligibility/tsgli&lt;/a&gt;&lt;/summary&gt;
      &lt;p&gt;&lt;/p&gt;
    &lt;/details&gt;</v>
      </c>
      <c r="R63" s="17" t="e">
        <f>CONCATENATE("          &lt;!-- ",#REF!," - ",#REF!," --&gt;&lt;div id='drag",#REF!,"' class='catAll",IF(#REF!="X"," catArmySites",""),IF(A63="X"," catCombatReadiness",""),IF(B63="X"," catDod",""),IF(C63="X"," catFamily",""),IF(#REF!="X"," catFinance",""),IF(D63="X"," catHealth",""),IF(F63="X"," catHuman",""),IF(G63="X"," catLegal",""),IF(H63="X"," catProDev",""),IF(I63="X"," catTech",""),IF(J63="X"," catMilEd",""),IF(K63="X"," catCivEd",""),IF(M63="X","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3" s="17" t="e">
        <f>CONCATENATE("var js",#REF!," = document.getElementbyId('drag",#REF!,"').innerHTML; //  ",#REF!)</f>
        <v>#REF!</v>
      </c>
    </row>
    <row r="64" spans="1:19" x14ac:dyDescent="0.25">
      <c r="A64" s="19" t="s">
        <v>1306</v>
      </c>
      <c r="B64" s="19"/>
      <c r="C64" s="18" t="s">
        <v>1305</v>
      </c>
      <c r="E64" s="17" t="s">
        <v>639</v>
      </c>
      <c r="F64" s="17" t="s">
        <v>1304</v>
      </c>
      <c r="J64" s="17" t="s">
        <v>480</v>
      </c>
      <c r="O64" s="17" t="str">
        <f>CONCATENATE("var js",Table13[[#This Row],[ID]]," = document.getElementbyId('",Table13[[#This Row],[ID]],"').innerHTML; //  ",Table13[[#This Row],[Site]])</f>
        <v>var jsTA063 = document.getElementbyId('TA063').innerHTML; //  Tricare</v>
      </c>
      <c r="P64" s="17">
        <f ca="1">CONCATENATE("        &lt;!--",A64," - ",C64," --&gt;&lt;div class='column catAll",IF(I64="X"," catArmySites",""),IF(J64="X"," catCombatReadiness",""),IF(K64="X"," catDod",""),IF(M64="X"," catFamily",""),IF(N64="X"," catFinance",""),IF(O64="X"," catHealth",""),IF(P64="X"," catHuman",""),IF(Q64="X"," catLegal",""),IF(R64="X"," catProDev",""),IF(S64="X"," catTech",""),IF(T64="X"," catMilEd",""),IF(U64="X"," catCivEd",""),IF(V64="X"," catUsGov",""),"' style='margin-bottom: 0px;' id='",F64,"'&gt;&lt;a href='",C64,"' rel='noopener noreferrer' class='column hideMarquee'&gt;&lt;div class='armyCardContainer card'&gt;&lt;div class='armyCard'&gt;&lt;div&gt;&lt;p class='marquee'&gt;",D64,"&lt;/p&gt;",IF(H64="Yes","&lt;img src='assets/CaCRequired.png' title='A CAC is required to use some or all features of this site!' Class='cacLocked'&gt;",""),IF(G64="Yes","&lt;img src='assets/DODlock.png' title='This Site requires a DoD network connection to be used!' Class='dodLocked'&gt;",""),"&lt;img src='assets/",#REF!,"' class='cardImage' loading='lazy'&gt;&lt;/div&gt;&lt;div class='title'&gt;&lt;span&gt;",A64,"&lt;/span&gt;&lt;/div&gt;&lt;/div&gt;&lt;/div&gt;&lt;/a&gt;&lt;/div&gt;&lt;script&gt;var js",F64," = document.getElementById('",F64,"').innerHTML;&lt;/script&gt;")</f>
        <v>0</v>
      </c>
      <c r="Q64" s="17" t="str">
        <f t="shared" si="1"/>
        <v xml:space="preserve">    &lt;details class='noSpacing'&gt;&lt;!-- Tricare - https://www.tricare.mil --&gt;
      &lt;summary&gt;• &lt;a href='https://www.tricare.mil' rel='noopener noreferrer'&gt;Tricare - https://www.tricare.mil&lt;/a&gt;&lt;/summary&gt;
      &lt;p&gt;&lt;/p&gt;
    &lt;/details&gt;</v>
      </c>
      <c r="R64" s="17" t="e">
        <f>CONCATENATE("          &lt;!-- ",#REF!," - ",#REF!," --&gt;&lt;div id='drag",#REF!,"' class='catAll",IF(#REF!="X"," catArmySites",""),IF(A64="X"," catCombatReadiness",""),IF(B64="X"," catDod",""),IF(C64="X"," catFamily",""),IF(#REF!="X"," catFinance",""),IF(D64="X"," catHealth",""),IF(F64="X"," catHuman",""),IF(G64="X"," catLegal",""),IF(H64="X"," catProDev",""),IF(I64="X"," catTech",""),IF(J64="X"," catMilEd",""),IF(K64="X"," catCivEd",""),IF(M64="X","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4" s="17" t="e">
        <f>CONCATENATE("var js",#REF!," = document.getElementbyId('drag",#REF!,"').innerHTML; //  ",#REF!)</f>
        <v>#REF!</v>
      </c>
    </row>
    <row r="65" spans="1:19" x14ac:dyDescent="0.25">
      <c r="A65" s="19" t="s">
        <v>1303</v>
      </c>
      <c r="B65" s="19"/>
      <c r="C65" s="18" t="s">
        <v>1302</v>
      </c>
      <c r="E65" s="17" t="s">
        <v>639</v>
      </c>
      <c r="F65" s="17" t="s">
        <v>1301</v>
      </c>
      <c r="G65" s="17" t="s">
        <v>480</v>
      </c>
      <c r="O65" s="17" t="str">
        <f>CONCATENATE("var js",Table13[[#This Row],[ID]]," = document.getElementbyId('",Table13[[#This Row],[ID]],"').innerHTML; //  ",Table13[[#This Row],[Site]])</f>
        <v>var jsTA064 = document.getElementbyId('TA064').innerHTML; //  U.S. Citizenship and Immigration Services - Military</v>
      </c>
      <c r="P65" s="17">
        <f ca="1">CONCATENATE("        &lt;!--",A65," - ",C65," --&gt;&lt;div class='column catAll",IF(I65="X"," catArmySites",""),IF(J65="X"," catCombatReadiness",""),IF(K65="X"," catDod",""),IF(M65="X"," catFamily",""),IF(N65="X"," catFinance",""),IF(O65="X"," catHealth",""),IF(P65="X"," catHuman",""),IF(Q65="X"," catLegal",""),IF(R65="X"," catProDev",""),IF(S65="X"," catTech",""),IF(T65="X"," catMilEd",""),IF(U65="X"," catCivEd",""),IF(V65="X"," catUsGov",""),"' style='margin-bottom: 0px;' id='",F65,"'&gt;&lt;a href='",C65,"' rel='noopener noreferrer' class='column hideMarquee'&gt;&lt;div class='armyCardContainer card'&gt;&lt;div class='armyCard'&gt;&lt;div&gt;&lt;p class='marquee'&gt;",D65,"&lt;/p&gt;",IF(H65="Yes","&lt;img src='assets/CaCRequired.png' title='A CAC is required to use some or all features of this site!' Class='cacLocked'&gt;",""),IF(G65="Yes","&lt;img src='assets/DODlock.png' title='This Site requires a DoD network connection to be used!' Class='dodLocked'&gt;",""),"&lt;img src='assets/",#REF!,"' class='cardImage' loading='lazy'&gt;&lt;/div&gt;&lt;div class='title'&gt;&lt;span&gt;",A65,"&lt;/span&gt;&lt;/div&gt;&lt;/div&gt;&lt;/div&gt;&lt;/a&gt;&lt;/div&gt;&lt;script&gt;var js",F65," = document.getElementById('",F65,"').innerHTML;&lt;/script&gt;")</f>
        <v>0</v>
      </c>
      <c r="Q65" s="17" t="str">
        <f t="shared" si="1"/>
        <v xml:space="preserve">    &lt;details class='noSpacing'&gt;&lt;!-- U.S. Citizenship and Immigration Services - Military - https://www.uscis.gov/military --&gt;
      &lt;summary&gt;• &lt;a href='https://www.uscis.gov/military' rel='noopener noreferrer'&gt;U.S. Citizenship and Immigration Services - Military - https://www.uscis.gov/military&lt;/a&gt;&lt;/summary&gt;
      &lt;p&gt;&lt;/p&gt;
    &lt;/details&gt;</v>
      </c>
      <c r="R65" s="17" t="e">
        <f>CONCATENATE("          &lt;!-- ",#REF!," - ",#REF!," --&gt;&lt;div id='drag",#REF!,"' class='catAll",IF(#REF!="X"," catArmySites",""),IF(A65="X"," catCombatReadiness",""),IF(B65="X"," catDod",""),IF(C65="X"," catFamily",""),IF(#REF!="X"," catFinance",""),IF(D65="X"," catHealth",""),IF(F65="X"," catHuman",""),IF(G65="X"," catLegal",""),IF(H65="X"," catProDev",""),IF(I65="X"," catTech",""),IF(J65="X"," catMilEd",""),IF(K65="X"," catCivEd",""),IF(M65="X","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5" s="17" t="e">
        <f>CONCATENATE("var js",#REF!," = document.getElementbyId('drag",#REF!,"').innerHTML; //  ",#REF!)</f>
        <v>#REF!</v>
      </c>
    </row>
    <row r="66" spans="1:19" x14ac:dyDescent="0.25">
      <c r="A66" s="19" t="s">
        <v>1300</v>
      </c>
      <c r="B66" s="19"/>
      <c r="C66" s="18" t="s">
        <v>1299</v>
      </c>
      <c r="D66" s="17" t="s">
        <v>1298</v>
      </c>
      <c r="E66" s="17" t="s">
        <v>639</v>
      </c>
      <c r="F66" s="17" t="s">
        <v>1297</v>
      </c>
      <c r="G66" s="17" t="s">
        <v>480</v>
      </c>
      <c r="I66" s="17" t="s">
        <v>480</v>
      </c>
      <c r="O66" s="17" t="str">
        <f>CONCATENATE("var js",Table13[[#This Row],[ID]]," = document.getElementbyId('",Table13[[#This Row],[ID]],"').innerHTML; //  ",Table13[[#This Row],[Site]])</f>
        <v>var jsTA065 = document.getElementbyId('TA065').innerHTML; //  U.S. Department of Veterans Affairs</v>
      </c>
      <c r="P66" s="17">
        <f ca="1">CONCATENATE("        &lt;!--",A66," - ",C66," --&gt;&lt;div class='column catAll",IF(I66="X"," catArmySites",""),IF(J66="X"," catCombatReadiness",""),IF(K66="X"," catDod",""),IF(M66="X"," catFamily",""),IF(N66="X"," catFinance",""),IF(O66="X"," catHealth",""),IF(P66="X"," catHuman",""),IF(Q66="X"," catLegal",""),IF(R66="X"," catProDev",""),IF(S66="X"," catTech",""),IF(T66="X"," catMilEd",""),IF(U66="X"," catCivEd",""),IF(V66="X"," catUsGov",""),"' style='margin-bottom: 0px;' id='",F66,"'&gt;&lt;a href='",C66,"' rel='noopener noreferrer' class='column hideMarquee'&gt;&lt;div class='armyCardContainer card'&gt;&lt;div class='armyCard'&gt;&lt;div&gt;&lt;p class='marquee'&gt;",D66,"&lt;/p&gt;",IF(H66="Yes","&lt;img src='assets/CaCRequired.png' title='A CAC is required to use some or all features of this site!' Class='cacLocked'&gt;",""),IF(G66="Yes","&lt;img src='assets/DODlock.png' title='This Site requires a DoD network connection to be used!' Class='dodLocked'&gt;",""),"&lt;img src='assets/",#REF!,"' class='cardImage' loading='lazy'&gt;&lt;/div&gt;&lt;div class='title'&gt;&lt;span&gt;",A66,"&lt;/span&gt;&lt;/div&gt;&lt;/div&gt;&lt;/div&gt;&lt;/a&gt;&lt;/div&gt;&lt;script&gt;var js",F66," = document.getElementById('",F66,"').innerHTML;&lt;/script&gt;")</f>
        <v>0</v>
      </c>
      <c r="Q66" s="17" t="str">
        <f t="shared" ref="Q66:Q97" si="2">CONCATENATE("    &lt;details class='noSpacing'&gt;&lt;!-- ",A66," - ",C66," --&gt;
      &lt;summary&gt;• &lt;a href='",C66,"' rel='noopener noreferrer'&gt;",A66," - ",C66,"&lt;/a&gt;&lt;/summary&gt;
      &lt;p&gt;",D66,"&lt;/p&gt;
    &lt;/details&gt;")</f>
        <v xml:space="preserve">    &lt;details class='noSpacing'&gt;&lt;!-- U.S. Department of Veterans Affairs - https://www.va.gov --&gt;
      &lt;summary&gt;• &lt;a href='https://www.va.gov' rel='noopener noreferrer'&gt;U.S. Department of Veterans Affairs - https://www.va.gov&lt;/a&gt;&lt;/summary&gt;
      &lt;p&gt;main portal for access to VA&lt;/p&gt;
    &lt;/details&gt;</v>
      </c>
      <c r="R66" s="17" t="e">
        <f>CONCATENATE("          &lt;!-- ",#REF!," - ",#REF!," --&gt;&lt;div id='drag",#REF!,"' class='catAll",IF(#REF!="X"," catArmySites",""),IF(A66="X"," catCombatReadiness",""),IF(B66="X"," catDod",""),IF(C66="X"," catFamily",""),IF(#REF!="X"," catFinance",""),IF(D66="X"," catHealth",""),IF(F66="X"," catHuman",""),IF(G66="X"," catLegal",""),IF(H66="X"," catProDev",""),IF(I66="X"," catTech",""),IF(J66="X"," catMilEd",""),IF(K66="X"," catCivEd",""),IF(M66="X","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6" s="17" t="e">
        <f>CONCATENATE("var js",#REF!," = document.getElementbyId('drag",#REF!,"').innerHTML; //  ",#REF!)</f>
        <v>#REF!</v>
      </c>
    </row>
    <row r="67" spans="1:19" x14ac:dyDescent="0.25">
      <c r="A67" s="19" t="s">
        <v>1296</v>
      </c>
      <c r="B67" s="19"/>
      <c r="C67" s="18" t="s">
        <v>1295</v>
      </c>
      <c r="E67" s="17" t="s">
        <v>639</v>
      </c>
      <c r="F67" s="17" t="s">
        <v>1294</v>
      </c>
      <c r="K67" s="17" t="s">
        <v>480</v>
      </c>
      <c r="O67" s="17" t="str">
        <f>CONCATENATE("var js",Table13[[#This Row],[ID]]," = document.getElementbyId('",Table13[[#This Row],[ID]],"').innerHTML; //  ",Table13[[#This Row],[Site]])</f>
        <v>var jsTA066 = document.getElementbyId('TA066').innerHTML; //  U.S. Office of Personnel Management</v>
      </c>
      <c r="P67" s="17">
        <f ca="1">CONCATENATE("        &lt;!--",A67," - ",C67," --&gt;&lt;div class='column catAll",IF(I67="X"," catArmySites",""),IF(J67="X"," catCombatReadiness",""),IF(K67="X"," catDod",""),IF(M67="X"," catFamily",""),IF(N67="X"," catFinance",""),IF(O67="X"," catHealth",""),IF(P67="X"," catHuman",""),IF(Q67="X"," catLegal",""),IF(R67="X"," catProDev",""),IF(S67="X"," catTech",""),IF(T67="X"," catMilEd",""),IF(U67="X"," catCivEd",""),IF(V67="X"," catUsGov",""),"' style='margin-bottom: 0px;' id='",F67,"'&gt;&lt;a href='",C67,"' rel='noopener noreferrer' class='column hideMarquee'&gt;&lt;div class='armyCardContainer card'&gt;&lt;div class='armyCard'&gt;&lt;div&gt;&lt;p class='marquee'&gt;",D67,"&lt;/p&gt;",IF(H67="Yes","&lt;img src='assets/CaCRequired.png' title='A CAC is required to use some or all features of this site!' Class='cacLocked'&gt;",""),IF(G67="Yes","&lt;img src='assets/DODlock.png' title='This Site requires a DoD network connection to be used!' Class='dodLocked'&gt;",""),"&lt;img src='assets/",#REF!,"' class='cardImage' loading='lazy'&gt;&lt;/div&gt;&lt;div class='title'&gt;&lt;span&gt;",A67,"&lt;/span&gt;&lt;/div&gt;&lt;/div&gt;&lt;/div&gt;&lt;/a&gt;&lt;/div&gt;&lt;script&gt;var js",F67," = document.getElementById('",F67,"').innerHTML;&lt;/script&gt;")</f>
        <v>0</v>
      </c>
      <c r="Q67" s="17" t="str">
        <f t="shared" si="2"/>
        <v xml:space="preserve">    &lt;details class='noSpacing'&gt;&lt;!-- U.S. Office of Personnel Management - https://www.opm.gov --&gt;
      &lt;summary&gt;• &lt;a href='https://www.opm.gov' rel='noopener noreferrer'&gt;U.S. Office of Personnel Management - https://www.opm.gov&lt;/a&gt;&lt;/summary&gt;
      &lt;p&gt;&lt;/p&gt;
    &lt;/details&gt;</v>
      </c>
      <c r="R67" s="17" t="e">
        <f>CONCATENATE("          &lt;!-- ",#REF!," - ",#REF!," --&gt;&lt;div id='drag",#REF!,"' class='catAll",IF(#REF!="X"," catArmySites",""),IF(A67="X"," catCombatReadiness",""),IF(B67="X"," catDod",""),IF(C67="X"," catFamily",""),IF(#REF!="X"," catFinance",""),IF(D67="X"," catHealth",""),IF(F67="X"," catHuman",""),IF(G67="X"," catLegal",""),IF(H67="X"," catProDev",""),IF(I67="X"," catTech",""),IF(J67="X"," catMilEd",""),IF(K67="X"," catCivEd",""),IF(M67="X","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7" s="17" t="e">
        <f>CONCATENATE("var js",#REF!," = document.getElementbyId('drag",#REF!,"').innerHTML; //  ",#REF!)</f>
        <v>#REF!</v>
      </c>
    </row>
    <row r="68" spans="1:19" x14ac:dyDescent="0.25">
      <c r="A68" s="19" t="s">
        <v>1293</v>
      </c>
      <c r="B68" s="19"/>
      <c r="C68" s="18" t="s">
        <v>1292</v>
      </c>
      <c r="E68" s="17" t="s">
        <v>639</v>
      </c>
      <c r="F68" s="17" t="s">
        <v>1291</v>
      </c>
      <c r="J68" s="17" t="s">
        <v>480</v>
      </c>
      <c r="O68" s="17" t="str">
        <f>CONCATENATE("var js",Table13[[#This Row],[ID]]," = document.getElementbyId('",Table13[[#This Row],[ID]],"').innerHTML; //  ",Table13[[#This Row],[Site]])</f>
        <v>var jsTA067 = document.getElementbyId('TA067').innerHTML; //  U.S. Small Buisness Administration</v>
      </c>
      <c r="P68" s="17">
        <f ca="1">CONCATENATE("        &lt;!--",A68," - ",C68," --&gt;&lt;div class='column catAll",IF(I68="X"," catArmySites",""),IF(J68="X"," catCombatReadiness",""),IF(K68="X"," catDod",""),IF(M68="X"," catFamily",""),IF(N68="X"," catFinance",""),IF(O68="X"," catHealth",""),IF(P68="X"," catHuman",""),IF(Q68="X"," catLegal",""),IF(R68="X"," catProDev",""),IF(S68="X"," catTech",""),IF(T68="X"," catMilEd",""),IF(U68="X"," catCivEd",""),IF(V68="X"," catUsGov",""),"' style='margin-bottom: 0px;' id='",F68,"'&gt;&lt;a href='",C68,"' rel='noopener noreferrer' class='column hideMarquee'&gt;&lt;div class='armyCardContainer card'&gt;&lt;div class='armyCard'&gt;&lt;div&gt;&lt;p class='marquee'&gt;",D68,"&lt;/p&gt;",IF(H68="Yes","&lt;img src='assets/CaCRequired.png' title='A CAC is required to use some or all features of this site!' Class='cacLocked'&gt;",""),IF(G68="Yes","&lt;img src='assets/DODlock.png' title='This Site requires a DoD network connection to be used!' Class='dodLocked'&gt;",""),"&lt;img src='assets/",#REF!,"' class='cardImage' loading='lazy'&gt;&lt;/div&gt;&lt;div class='title'&gt;&lt;span&gt;",A68,"&lt;/span&gt;&lt;/div&gt;&lt;/div&gt;&lt;/div&gt;&lt;/a&gt;&lt;/div&gt;&lt;script&gt;var js",F68," = document.getElementById('",F68,"').innerHTML;&lt;/script&gt;")</f>
        <v>0</v>
      </c>
      <c r="Q68" s="17" t="str">
        <f t="shared" si="2"/>
        <v xml:space="preserve">    &lt;details class='noSpacing'&gt;&lt;!-- U.S. Small Buisness Administration - https://www.sba.gov/federal-contracting --&gt;
      &lt;summary&gt;• &lt;a href='https://www.sba.gov/federal-contracting' rel='noopener noreferrer'&gt;U.S. Small Buisness Administration - https://www.sba.gov/federal-contracting&lt;/a&gt;&lt;/summary&gt;
      &lt;p&gt;&lt;/p&gt;
    &lt;/details&gt;</v>
      </c>
      <c r="R68" s="17" t="e">
        <f>CONCATENATE("          &lt;!-- ",#REF!," - ",#REF!," --&gt;&lt;div id='drag",#REF!,"' class='catAll",IF(#REF!="X"," catArmySites",""),IF(A68="X"," catCombatReadiness",""),IF(B68="X"," catDod",""),IF(C68="X"," catFamily",""),IF(#REF!="X"," catFinance",""),IF(D68="X"," catHealth",""),IF(F68="X"," catHuman",""),IF(G68="X"," catLegal",""),IF(H68="X"," catProDev",""),IF(I68="X"," catTech",""),IF(J68="X"," catMilEd",""),IF(K68="X"," catCivEd",""),IF(M68="X","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8" s="17" t="e">
        <f>CONCATENATE("var js",#REF!," = document.getElementbyId('drag",#REF!,"').innerHTML; //  ",#REF!)</f>
        <v>#REF!</v>
      </c>
    </row>
    <row r="69" spans="1:19" x14ac:dyDescent="0.25">
      <c r="A69" s="19" t="s">
        <v>1290</v>
      </c>
      <c r="B69" s="19"/>
      <c r="C69" s="18" t="s">
        <v>1289</v>
      </c>
      <c r="E69" s="17" t="s">
        <v>639</v>
      </c>
      <c r="F69" s="17" t="s">
        <v>1288</v>
      </c>
      <c r="J69" s="17" t="s">
        <v>480</v>
      </c>
      <c r="O69" s="17" t="str">
        <f>CONCATENATE("var js",Table13[[#This Row],[ID]]," = document.getElementbyId('",Table13[[#This Row],[ID]],"').innerHTML; //  ",Table13[[#This Row],[Site]])</f>
        <v>var jsTA068 = document.getElementbyId('TA068').innerHTML; //  US Coast Guard Personnel Service Center (PSC)</v>
      </c>
      <c r="P69" s="17">
        <f ca="1">CONCATENATE("        &lt;!--",A69," - ",C69," --&gt;&lt;div class='column catAll",IF(I69="X"," catArmySites",""),IF(J69="X"," catCombatReadiness",""),IF(K69="X"," catDod",""),IF(M69="X"," catFamily",""),IF(N69="X"," catFinance",""),IF(O69="X"," catHealth",""),IF(P69="X"," catHuman",""),IF(Q69="X"," catLegal",""),IF(R69="X"," catProDev",""),IF(S69="X"," catTech",""),IF(T69="X"," catMilEd",""),IF(U69="X"," catCivEd",""),IF(V69="X"," catUsGov",""),"' style='margin-bottom: 0px;' id='",F69,"'&gt;&lt;a href='",C69,"' rel='noopener noreferrer' class='column hideMarquee'&gt;&lt;div class='armyCardContainer card'&gt;&lt;div class='armyCard'&gt;&lt;div&gt;&lt;p class='marquee'&gt;",D69,"&lt;/p&gt;",IF(H69="Yes","&lt;img src='assets/CaCRequired.png' title='A CAC is required to use some or all features of this site!' Class='cacLocked'&gt;",""),IF(G69="Yes","&lt;img src='assets/DODlock.png' title='This Site requires a DoD network connection to be used!' Class='dodLocked'&gt;",""),"&lt;img src='assets/",#REF!,"' class='cardImage' loading='lazy'&gt;&lt;/div&gt;&lt;div class='title'&gt;&lt;span&gt;",A69,"&lt;/span&gt;&lt;/div&gt;&lt;/div&gt;&lt;/div&gt;&lt;/a&gt;&lt;/div&gt;&lt;script&gt;var js",F69," = document.getElementById('",F69,"').innerHTML;&lt;/script&gt;")</f>
        <v>0</v>
      </c>
      <c r="Q69" s="17" t="str">
        <f t="shared" si="2"/>
        <v xml:space="preserve">    &lt;details class='noSpacing'&gt;&lt;!-- US Coast Guard Personnel Service Center (PSC) - https://www.uscg.mil/psc/psd/fs/tsgli.asp --&gt;
      &lt;summary&gt;• &lt;a href='https://www.uscg.mil/psc/psd/fs/tsgli.asp' rel='noopener noreferrer'&gt;US Coast Guard Personnel Service Center (PSC) - https://www.uscg.mil/psc/psd/fs/tsgli.asp&lt;/a&gt;&lt;/summary&gt;
      &lt;p&gt;&lt;/p&gt;
    &lt;/details&gt;</v>
      </c>
      <c r="R69" s="17" t="e">
        <f>CONCATENATE("          &lt;!-- ",#REF!," - ",#REF!," --&gt;&lt;div id='drag",#REF!,"' class='catAll",IF(#REF!="X"," catArmySites",""),IF(A69="X"," catCombatReadiness",""),IF(B69="X"," catDod",""),IF(C69="X"," catFamily",""),IF(#REF!="X"," catFinance",""),IF(D69="X"," catHealth",""),IF(F69="X"," catHuman",""),IF(G69="X"," catLegal",""),IF(H69="X"," catProDev",""),IF(I69="X"," catTech",""),IF(J69="X"," catMilEd",""),IF(K69="X"," catCivEd",""),IF(M69="X","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69" s="17" t="e">
        <f>CONCATENATE("var js",#REF!," = document.getElementbyId('drag",#REF!,"').innerHTML; //  ",#REF!)</f>
        <v>#REF!</v>
      </c>
    </row>
    <row r="70" spans="1:19" x14ac:dyDescent="0.25">
      <c r="A70" s="19" t="s">
        <v>1287</v>
      </c>
      <c r="B70" s="19"/>
      <c r="C70" s="18" t="s">
        <v>1286</v>
      </c>
      <c r="E70" s="17" t="s">
        <v>639</v>
      </c>
      <c r="F70" s="17" t="s">
        <v>1285</v>
      </c>
      <c r="J70" s="17" t="s">
        <v>480</v>
      </c>
      <c r="O70" s="17" t="str">
        <f>CONCATENATE("var js",Table13[[#This Row],[ID]]," = document.getElementbyId('",Table13[[#This Row],[ID]],"').innerHTML; //  ",Table13[[#This Row],[Site]])</f>
        <v>var jsTA069 = document.getElementbyId('TA069').innerHTML; //  USA Jobs</v>
      </c>
      <c r="P70" s="17">
        <f ca="1">CONCATENATE("        &lt;!--",A70," - ",C70," --&gt;&lt;div class='column catAll",IF(I70="X"," catArmySites",""),IF(J70="X"," catCombatReadiness",""),IF(K70="X"," catDod",""),IF(M70="X"," catFamily",""),IF(N70="X"," catFinance",""),IF(O70="X"," catHealth",""),IF(P70="X"," catHuman",""),IF(Q70="X"," catLegal",""),IF(R70="X"," catProDev",""),IF(S70="X"," catTech",""),IF(T70="X"," catMilEd",""),IF(U70="X"," catCivEd",""),IF(V70="X"," catUsGov",""),"' style='margin-bottom: 0px;' id='",F70,"'&gt;&lt;a href='",C70,"' rel='noopener noreferrer' class='column hideMarquee'&gt;&lt;div class='armyCardContainer card'&gt;&lt;div class='armyCard'&gt;&lt;div&gt;&lt;p class='marquee'&gt;",D70,"&lt;/p&gt;",IF(H70="Yes","&lt;img src='assets/CaCRequired.png' title='A CAC is required to use some or all features of this site!' Class='cacLocked'&gt;",""),IF(G70="Yes","&lt;img src='assets/DODlock.png' title='This Site requires a DoD network connection to be used!' Class='dodLocked'&gt;",""),"&lt;img src='assets/",#REF!,"' class='cardImage' loading='lazy'&gt;&lt;/div&gt;&lt;div class='title'&gt;&lt;span&gt;",A70,"&lt;/span&gt;&lt;/div&gt;&lt;/div&gt;&lt;/div&gt;&lt;/a&gt;&lt;/div&gt;&lt;script&gt;var js",F70," = document.getElementById('",F70,"').innerHTML;&lt;/script&gt;")</f>
        <v>0</v>
      </c>
      <c r="Q70" s="17" t="str">
        <f t="shared" si="2"/>
        <v xml:space="preserve">    &lt;details class='noSpacing'&gt;&lt;!-- USA Jobs - https://www.usajobs.gov/ --&gt;
      &lt;summary&gt;• &lt;a href='https://www.usajobs.gov/' rel='noopener noreferrer'&gt;USA Jobs - https://www.usajobs.gov/&lt;/a&gt;&lt;/summary&gt;
      &lt;p&gt;&lt;/p&gt;
    &lt;/details&gt;</v>
      </c>
      <c r="R70" s="17" t="e">
        <f>CONCATENATE("          &lt;!-- ",#REF!," - ",#REF!," --&gt;&lt;div id='drag",#REF!,"' class='catAll",IF(#REF!="X"," catArmySites",""),IF(A70="X"," catCombatReadiness",""),IF(B70="X"," catDod",""),IF(C70="X"," catFamily",""),IF(#REF!="X"," catFinance",""),IF(D70="X"," catHealth",""),IF(F70="X"," catHuman",""),IF(G70="X"," catLegal",""),IF(H70="X"," catProDev",""),IF(I70="X"," catTech",""),IF(J70="X"," catMilEd",""),IF(K70="X"," catCivEd",""),IF(M70="X","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0" s="17" t="e">
        <f>CONCATENATE("var js",#REF!," = document.getElementbyId('drag",#REF!,"').innerHTML; //  ",#REF!)</f>
        <v>#REF!</v>
      </c>
    </row>
    <row r="71" spans="1:19" x14ac:dyDescent="0.25">
      <c r="A71" s="19" t="s">
        <v>1284</v>
      </c>
      <c r="B71" s="19"/>
      <c r="C71" s="18" t="s">
        <v>1283</v>
      </c>
      <c r="D71" s="17" t="s">
        <v>1282</v>
      </c>
      <c r="E71" s="17" t="s">
        <v>639</v>
      </c>
      <c r="F71" s="17" t="s">
        <v>1281</v>
      </c>
      <c r="J71" s="17" t="s">
        <v>480</v>
      </c>
      <c r="O71" s="17" t="str">
        <f>CONCATENATE("var js",Table13[[#This Row],[ID]]," = document.getElementbyId('",Table13[[#This Row],[ID]],"').innerHTML; //  ",Table13[[#This Row],[Site]])</f>
        <v>var jsTA070 = document.getElementbyId('TA070').innerHTML; //  USO Transition Program</v>
      </c>
      <c r="P71" s="17">
        <f ca="1">CONCATENATE("        &lt;!--",A71," - ",C71," --&gt;&lt;div class='column catAll",IF(I71="X"," catArmySites",""),IF(J71="X"," catCombatReadiness",""),IF(K71="X"," catDod",""),IF(M71="X"," catFamily",""),IF(N71="X"," catFinance",""),IF(O71="X"," catHealth",""),IF(P71="X"," catHuman",""),IF(Q71="X"," catLegal",""),IF(R71="X"," catProDev",""),IF(S71="X"," catTech",""),IF(T71="X"," catMilEd",""),IF(U71="X"," catCivEd",""),IF(V71="X"," catUsGov",""),"' style='margin-bottom: 0px;' id='",F71,"'&gt;&lt;a href='",C71,"' rel='noopener noreferrer' class='column hideMarquee'&gt;&lt;div class='armyCardContainer card'&gt;&lt;div class='armyCard'&gt;&lt;div&gt;&lt;p class='marquee'&gt;",D71,"&lt;/p&gt;",IF(H71="Yes","&lt;img src='assets/CaCRequired.png' title='A CAC is required to use some or all features of this site!' Class='cacLocked'&gt;",""),IF(G71="Yes","&lt;img src='assets/DODlock.png' title='This Site requires a DoD network connection to be used!' Class='dodLocked'&gt;",""),"&lt;img src='assets/",#REF!,"' class='cardImage' loading='lazy'&gt;&lt;/div&gt;&lt;div class='title'&gt;&lt;span&gt;",A71,"&lt;/span&gt;&lt;/div&gt;&lt;/div&gt;&lt;/div&gt;&lt;/a&gt;&lt;/div&gt;&lt;script&gt;var js",F71," = document.getElementById('",F71,"').innerHTML;&lt;/script&gt;")</f>
        <v>0</v>
      </c>
      <c r="Q71" s="17" t="str">
        <f t="shared" si="2"/>
        <v xml:space="preserve">    &lt;details class='noSpacing'&gt;&lt;!-- USO Transition Program - https://www.uso.org/programs/uso-pathfinder --&gt;
      &lt;summary&gt;• &lt;a href='https://www.uso.org/programs/uso-pathfinder' rel='noopener noreferrer'&gt;USO Transition Program - https://www.uso.org/programs/uso-pathfinder&lt;/a&gt;&lt;/summary&gt;
      &lt;p&gt;transition assistance&lt;/p&gt;
    &lt;/details&gt;</v>
      </c>
      <c r="R71" s="17" t="e">
        <f>CONCATENATE("          &lt;!-- ",#REF!," - ",#REF!," --&gt;&lt;div id='drag",#REF!,"' class='catAll",IF(#REF!="X"," catArmySites",""),IF(A71="X"," catCombatReadiness",""),IF(B71="X"," catDod",""),IF(C71="X"," catFamily",""),IF(#REF!="X"," catFinance",""),IF(D71="X"," catHealth",""),IF(F71="X"," catHuman",""),IF(G71="X"," catLegal",""),IF(H71="X"," catProDev",""),IF(I71="X"," catTech",""),IF(J71="X"," catMilEd",""),IF(K71="X"," catCivEd",""),IF(M71="X","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1" s="17" t="e">
        <f>CONCATENATE("var js",#REF!," = document.getElementbyId('drag",#REF!,"').innerHTML; //  ",#REF!)</f>
        <v>#REF!</v>
      </c>
    </row>
    <row r="72" spans="1:19" x14ac:dyDescent="0.25">
      <c r="A72" s="19" t="s">
        <v>1280</v>
      </c>
      <c r="B72" s="19"/>
      <c r="C72" s="18" t="s">
        <v>1279</v>
      </c>
      <c r="E72" s="17" t="s">
        <v>639</v>
      </c>
      <c r="F72" s="17" t="s">
        <v>1278</v>
      </c>
      <c r="I72" s="17" t="s">
        <v>480</v>
      </c>
      <c r="N72" s="17" t="s">
        <v>480</v>
      </c>
      <c r="O72" s="17" t="str">
        <f>CONCATENATE("var js",Table13[[#This Row],[ID]]," = document.getElementbyId('",Table13[[#This Row],[ID]],"').innerHTML; //  ",Table13[[#This Row],[Site]])</f>
        <v>var jsTA071 = document.getElementbyId('TA071').innerHTML; //  VA benefits for service members</v>
      </c>
      <c r="P72" s="17">
        <f ca="1">CONCATENATE("        &lt;!--",A72," - ",C72," --&gt;&lt;div class='column catAll",IF(I72="X"," catArmySites",""),IF(J72="X"," catCombatReadiness",""),IF(K72="X"," catDod",""),IF(M72="X"," catFamily",""),IF(N72="X"," catFinance",""),IF(O72="X"," catHealth",""),IF(P72="X"," catHuman",""),IF(Q72="X"," catLegal",""),IF(R72="X"," catProDev",""),IF(S72="X"," catTech",""),IF(T72="X"," catMilEd",""),IF(U72="X"," catCivEd",""),IF(V72="X"," catUsGov",""),"' style='margin-bottom: 0px;' id='",F72,"'&gt;&lt;a href='",C72,"' rel='noopener noreferrer' class='column hideMarquee'&gt;&lt;div class='armyCardContainer card'&gt;&lt;div class='armyCard'&gt;&lt;div&gt;&lt;p class='marquee'&gt;",D72,"&lt;/p&gt;",IF(H72="Yes","&lt;img src='assets/CaCRequired.png' title='A CAC is required to use some or all features of this site!' Class='cacLocked'&gt;",""),IF(G72="Yes","&lt;img src='assets/DODlock.png' title='This Site requires a DoD network connection to be used!' Class='dodLocked'&gt;",""),"&lt;img src='assets/",#REF!,"' class='cardImage' loading='lazy'&gt;&lt;/div&gt;&lt;div class='title'&gt;&lt;span&gt;",A72,"&lt;/span&gt;&lt;/div&gt;&lt;/div&gt;&lt;/div&gt;&lt;/a&gt;&lt;/div&gt;&lt;script&gt;var js",F72," = document.getElementById('",F72,"').innerHTML;&lt;/script&gt;")</f>
        <v>0</v>
      </c>
      <c r="Q72" s="17" t="str">
        <f t="shared" si="2"/>
        <v xml:space="preserve">    &lt;details class='noSpacing'&gt;&lt;!-- VA benefits for service members - https://www.va.gov/service-member-benefits --&gt;
      &lt;summary&gt;• &lt;a href='https://www.va.gov/service-member-benefits' rel='noopener noreferrer'&gt;VA benefits for service members - https://www.va.gov/service-member-benefits&lt;/a&gt;&lt;/summary&gt;
      &lt;p&gt;&lt;/p&gt;
    &lt;/details&gt;</v>
      </c>
      <c r="R72" s="17" t="e">
        <f>CONCATENATE("          &lt;!-- ",#REF!," - ",#REF!," --&gt;&lt;div id='drag",#REF!,"' class='catAll",IF(#REF!="X"," catArmySites",""),IF(A72="X"," catCombatReadiness",""),IF(B72="X"," catDod",""),IF(C72="X"," catFamily",""),IF(#REF!="X"," catFinance",""),IF(D72="X"," catHealth",""),IF(F72="X"," catHuman",""),IF(G72="X"," catLegal",""),IF(H72="X"," catProDev",""),IF(I72="X"," catTech",""),IF(J72="X"," catMilEd",""),IF(K72="X"," catCivEd",""),IF(M72="X","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2" s="17" t="e">
        <f>CONCATENATE("var js",#REF!," = document.getElementbyId('drag",#REF!,"').innerHTML; //  ",#REF!)</f>
        <v>#REF!</v>
      </c>
    </row>
    <row r="73" spans="1:19" x14ac:dyDescent="0.25">
      <c r="A73" s="19" t="s">
        <v>1277</v>
      </c>
      <c r="B73" s="19"/>
      <c r="C73" s="18" t="s">
        <v>1276</v>
      </c>
      <c r="E73" s="17" t="s">
        <v>639</v>
      </c>
      <c r="F73" s="17" t="s">
        <v>1275</v>
      </c>
      <c r="I73" s="17" t="s">
        <v>480</v>
      </c>
      <c r="M73" s="17" t="s">
        <v>480</v>
      </c>
      <c r="N73" s="17" t="s">
        <v>480</v>
      </c>
      <c r="O73" s="17" t="str">
        <f>CONCATENATE("var js",Table13[[#This Row],[ID]]," = document.getElementbyId('",Table13[[#This Row],[ID]],"').innerHTML; //  ",Table13[[#This Row],[Site]])</f>
        <v>var jsTA072 = document.getElementbyId('TA072').innerHTML; //  VA benefits for spouses, dependents, survivors, and family caregivers</v>
      </c>
      <c r="P73" s="17">
        <f ca="1">CONCATENATE("        &lt;!--",A73," - ",C73," --&gt;&lt;div class='column catAll",IF(I73="X"," catArmySites",""),IF(J73="X"," catCombatReadiness",""),IF(K73="X"," catDod",""),IF(M73="X"," catFamily",""),IF(N73="X"," catFinance",""),IF(O73="X"," catHealth",""),IF(P73="X"," catHuman",""),IF(Q73="X"," catLegal",""),IF(R73="X"," catProDev",""),IF(S73="X"," catTech",""),IF(T73="X"," catMilEd",""),IF(U73="X"," catCivEd",""),IF(V73="X"," catUsGov",""),"' style='margin-bottom: 0px;' id='",F73,"'&gt;&lt;a href='",C73,"' rel='noopener noreferrer' class='column hideMarquee'&gt;&lt;div class='armyCardContainer card'&gt;&lt;div class='armyCard'&gt;&lt;div&gt;&lt;p class='marquee'&gt;",D73,"&lt;/p&gt;",IF(H73="Yes","&lt;img src='assets/CaCRequired.png' title='A CAC is required to use some or all features of this site!' Class='cacLocked'&gt;",""),IF(G73="Yes","&lt;img src='assets/DODlock.png' title='This Site requires a DoD network connection to be used!' Class='dodLocked'&gt;",""),"&lt;img src='assets/",#REF!,"' class='cardImage' loading='lazy'&gt;&lt;/div&gt;&lt;div class='title'&gt;&lt;span&gt;",A73,"&lt;/span&gt;&lt;/div&gt;&lt;/div&gt;&lt;/div&gt;&lt;/a&gt;&lt;/div&gt;&lt;script&gt;var js",F73," = document.getElementById('",F73,"').innerHTML;&lt;/script&gt;")</f>
        <v>0</v>
      </c>
      <c r="Q73" s="17" t="str">
        <f t="shared" si="2"/>
        <v xml:space="preserve">    &lt;details class='noSpacing'&gt;&lt;!-- VA benefits for spouses, dependents, survivors, and family caregivers - https://www.va.gov/family-member-benefits --&gt;
      &lt;summary&gt;• &lt;a href='https://www.va.gov/family-member-benefits' rel='noopener noreferrer'&gt;VA benefits for spouses, dependents, survivors, and family caregivers - https://www.va.gov/family-member-benefits&lt;/a&gt;&lt;/summary&gt;
      &lt;p&gt;&lt;/p&gt;
    &lt;/details&gt;</v>
      </c>
      <c r="R73" s="17" t="e">
        <f>CONCATENATE("          &lt;!-- ",#REF!," - ",#REF!," --&gt;&lt;div id='drag",#REF!,"' class='catAll",IF(#REF!="X"," catArmySites",""),IF(A73="X"," catCombatReadiness",""),IF(B73="X"," catDod",""),IF(C73="X"," catFamily",""),IF(#REF!="X"," catFinance",""),IF(D73="X"," catHealth",""),IF(F73="X"," catHuman",""),IF(G73="X"," catLegal",""),IF(H73="X"," catProDev",""),IF(I73="X"," catTech",""),IF(J73="X"," catMilEd",""),IF(K73="X"," catCivEd",""),IF(M73="X","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3" s="17" t="e">
        <f>CONCATENATE("var js",#REF!," = document.getElementbyId('drag",#REF!,"').innerHTML; //  ",#REF!)</f>
        <v>#REF!</v>
      </c>
    </row>
    <row r="74" spans="1:19" x14ac:dyDescent="0.25">
      <c r="A74" s="19" t="s">
        <v>1274</v>
      </c>
      <c r="B74" s="19"/>
      <c r="C74" s="18" t="s">
        <v>1273</v>
      </c>
      <c r="E74" s="17" t="s">
        <v>639</v>
      </c>
      <c r="F74" s="17" t="s">
        <v>1272</v>
      </c>
      <c r="I74" s="17" t="s">
        <v>480</v>
      </c>
      <c r="M74" s="17" t="s">
        <v>480</v>
      </c>
      <c r="N74" s="17" t="s">
        <v>480</v>
      </c>
      <c r="O74" s="17" t="str">
        <f>CONCATENATE("var js",Table13[[#This Row],[ID]]," = document.getElementbyId('",Table13[[#This Row],[ID]],"').innerHTML; //  ",Table13[[#This Row],[Site]])</f>
        <v>var jsTA073 = document.getElementbyId('TA073').innerHTML; //  VA burial benefits and memorial items</v>
      </c>
      <c r="P74" s="17">
        <f ca="1">CONCATENATE("        &lt;!--",A74," - ",C74," --&gt;&lt;div class='column catAll",IF(I74="X"," catArmySites",""),IF(J74="X"," catCombatReadiness",""),IF(K74="X"," catDod",""),IF(M74="X"," catFamily",""),IF(N74="X"," catFinance",""),IF(O74="X"," catHealth",""),IF(P74="X"," catHuman",""),IF(Q74="X"," catLegal",""),IF(R74="X"," catProDev",""),IF(S74="X"," catTech",""),IF(T74="X"," catMilEd",""),IF(U74="X"," catCivEd",""),IF(V74="X"," catUsGov",""),"' style='margin-bottom: 0px;' id='",F74,"'&gt;&lt;a href='",C74,"' rel='noopener noreferrer' class='column hideMarquee'&gt;&lt;div class='armyCardContainer card'&gt;&lt;div class='armyCard'&gt;&lt;div&gt;&lt;p class='marquee'&gt;",D74,"&lt;/p&gt;",IF(H74="Yes","&lt;img src='assets/CaCRequired.png' title='A CAC is required to use some or all features of this site!' Class='cacLocked'&gt;",""),IF(G74="Yes","&lt;img src='assets/DODlock.png' title='This Site requires a DoD network connection to be used!' Class='dodLocked'&gt;",""),"&lt;img src='assets/",#REF!,"' class='cardImage' loading='lazy'&gt;&lt;/div&gt;&lt;div class='title'&gt;&lt;span&gt;",A74,"&lt;/span&gt;&lt;/div&gt;&lt;/div&gt;&lt;/div&gt;&lt;/a&gt;&lt;/div&gt;&lt;script&gt;var js",F74," = document.getElementById('",F74,"').innerHTML;&lt;/script&gt;")</f>
        <v>0</v>
      </c>
      <c r="Q74" s="17" t="str">
        <f t="shared" si="2"/>
        <v xml:space="preserve">    &lt;details class='noSpacing'&gt;&lt;!-- VA burial benefits and memorial items - https://www.va.gov/burials-memorials --&gt;
      &lt;summary&gt;• &lt;a href='https://www.va.gov/burials-memorials' rel='noopener noreferrer'&gt;VA burial benefits and memorial items - https://www.va.gov/burials-memorials&lt;/a&gt;&lt;/summary&gt;
      &lt;p&gt;&lt;/p&gt;
    &lt;/details&gt;</v>
      </c>
      <c r="R74" s="17" t="e">
        <f>CONCATENATE("          &lt;!-- ",#REF!," - ",#REF!," --&gt;&lt;div id='drag",#REF!,"' class='catAll",IF(#REF!="X"," catArmySites",""),IF(A74="X"," catCombatReadiness",""),IF(B74="X"," catDod",""),IF(C74="X"," catFamily",""),IF(#REF!="X"," catFinance",""),IF(D74="X"," catHealth",""),IF(F74="X"," catHuman",""),IF(G74="X"," catLegal",""),IF(H74="X"," catProDev",""),IF(I74="X"," catTech",""),IF(J74="X"," catMilEd",""),IF(K74="X"," catCivEd",""),IF(M74="X","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4" s="17" t="e">
        <f>CONCATENATE("var js",#REF!," = document.getElementbyId('drag",#REF!,"').innerHTML; //  ",#REF!)</f>
        <v>#REF!</v>
      </c>
    </row>
    <row r="75" spans="1:19" x14ac:dyDescent="0.25">
      <c r="A75" s="19" t="s">
        <v>1269</v>
      </c>
      <c r="B75" s="19"/>
      <c r="C75" s="18" t="s">
        <v>1271</v>
      </c>
      <c r="E75" s="17" t="s">
        <v>639</v>
      </c>
      <c r="F75" s="17" t="s">
        <v>1270</v>
      </c>
      <c r="J75" s="17" t="s">
        <v>480</v>
      </c>
      <c r="O75" s="17" t="str">
        <f>CONCATENATE("var js",Table13[[#This Row],[ID]]," = document.getElementbyId('",Table13[[#This Row],[ID]],"').innerHTML; //  ",Table13[[#This Row],[Site]])</f>
        <v>var jsTA074 = document.getElementbyId('TA074').innerHTML; //  VA Careers and employment</v>
      </c>
      <c r="P75" s="17">
        <f ca="1">CONCATENATE("        &lt;!--",A75," - ",C75," --&gt;&lt;div class='column catAll",IF(I75="X"," catArmySites",""),IF(J75="X"," catCombatReadiness",""),IF(K75="X"," catDod",""),IF(M75="X"," catFamily",""),IF(N75="X"," catFinance",""),IF(O75="X"," catHealth",""),IF(P75="X"," catHuman",""),IF(Q75="X"," catLegal",""),IF(R75="X"," catProDev",""),IF(S75="X"," catTech",""),IF(T75="X"," catMilEd",""),IF(U75="X"," catCivEd",""),IF(V75="X"," catUsGov",""),"' style='margin-bottom: 0px;' id='",F75,"'&gt;&lt;a href='",C75,"' rel='noopener noreferrer' class='column hideMarquee'&gt;&lt;div class='armyCardContainer card'&gt;&lt;div class='armyCard'&gt;&lt;div&gt;&lt;p class='marquee'&gt;",D75,"&lt;/p&gt;",IF(H75="Yes","&lt;img src='assets/CaCRequired.png' title='A CAC is required to use some or all features of this site!' Class='cacLocked'&gt;",""),IF(G75="Yes","&lt;img src='assets/DODlock.png' title='This Site requires a DoD network connection to be used!' Class='dodLocked'&gt;",""),"&lt;img src='assets/",#REF!,"' class='cardImage' loading='lazy'&gt;&lt;/div&gt;&lt;div class='title'&gt;&lt;span&gt;",A75,"&lt;/span&gt;&lt;/div&gt;&lt;/div&gt;&lt;/div&gt;&lt;/a&gt;&lt;/div&gt;&lt;script&gt;var js",F75," = document.getElementById('",F75,"').innerHTML;&lt;/script&gt;")</f>
        <v>0</v>
      </c>
      <c r="Q75" s="17" t="str">
        <f t="shared" si="2"/>
        <v xml:space="preserve">    &lt;details class='noSpacing'&gt;&lt;!-- VA Careers and employment - https://www.vets.gov/employment/job-seekers/register-your-business --&gt;
      &lt;summary&gt;• &lt;a href='https://www.vets.gov/employment/job-seekers/register-your-business' rel='noopener noreferrer'&gt;VA Careers and employment - https://www.vets.gov/employment/job-seekers/register-your-business&lt;/a&gt;&lt;/summary&gt;
      &lt;p&gt;&lt;/p&gt;
    &lt;/details&gt;</v>
      </c>
      <c r="R75" s="17" t="e">
        <f>CONCATENATE("          &lt;!-- ",#REF!," - ",#REF!," --&gt;&lt;div id='drag",#REF!,"' class='catAll",IF(#REF!="X"," catArmySites",""),IF(A75="X"," catCombatReadiness",""),IF(B75="X"," catDod",""),IF(C75="X"," catFamily",""),IF(#REF!="X"," catFinance",""),IF(D75="X"," catHealth",""),IF(F75="X"," catHuman",""),IF(G75="X"," catLegal",""),IF(H75="X"," catProDev",""),IF(I75="X"," catTech",""),IF(J75="X"," catMilEd",""),IF(K75="X"," catCivEd",""),IF(M75="X","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5" s="17" t="e">
        <f>CONCATENATE("var js",#REF!," = document.getElementbyId('drag",#REF!,"').innerHTML; //  ",#REF!)</f>
        <v>#REF!</v>
      </c>
    </row>
    <row r="76" spans="1:19" x14ac:dyDescent="0.25">
      <c r="A76" s="19" t="s">
        <v>1269</v>
      </c>
      <c r="B76" s="19"/>
      <c r="C76" s="18" t="s">
        <v>1268</v>
      </c>
      <c r="E76" s="17" t="s">
        <v>639</v>
      </c>
      <c r="F76" s="17" t="s">
        <v>1267</v>
      </c>
      <c r="I76" s="17" t="s">
        <v>480</v>
      </c>
      <c r="K76" s="17" t="s">
        <v>480</v>
      </c>
      <c r="N76" s="17" t="s">
        <v>480</v>
      </c>
      <c r="O76" s="17" t="str">
        <f>CONCATENATE("var js",Table13[[#This Row],[ID]]," = document.getElementbyId('",Table13[[#This Row],[ID]],"').innerHTML; //  ",Table13[[#This Row],[Site]])</f>
        <v>var jsTA075 = document.getElementbyId('TA075').innerHTML; //  VA Careers and employment</v>
      </c>
      <c r="P76" s="17">
        <f ca="1">CONCATENATE("        &lt;!--",A76," - ",C76," --&gt;&lt;div class='column catAll",IF(I76="X"," catArmySites",""),IF(J76="X"," catCombatReadiness",""),IF(K76="X"," catDod",""),IF(M76="X"," catFamily",""),IF(N76="X"," catFinance",""),IF(O76="X"," catHealth",""),IF(P76="X"," catHuman",""),IF(Q76="X"," catLegal",""),IF(R76="X"," catProDev",""),IF(S76="X"," catTech",""),IF(T76="X"," catMilEd",""),IF(U76="X"," catCivEd",""),IF(V76="X"," catUsGov",""),"' style='margin-bottom: 0px;' id='",F76,"'&gt;&lt;a href='",C76,"' rel='noopener noreferrer' class='column hideMarquee'&gt;&lt;div class='armyCardContainer card'&gt;&lt;div class='armyCard'&gt;&lt;div&gt;&lt;p class='marquee'&gt;",D76,"&lt;/p&gt;",IF(H76="Yes","&lt;img src='assets/CaCRequired.png' title='A CAC is required to use some or all features of this site!' Class='cacLocked'&gt;",""),IF(G76="Yes","&lt;img src='assets/DODlock.png' title='This Site requires a DoD network connection to be used!' Class='dodLocked'&gt;",""),"&lt;img src='assets/",#REF!,"' class='cardImage' loading='lazy'&gt;&lt;/div&gt;&lt;div class='title'&gt;&lt;span&gt;",A76,"&lt;/span&gt;&lt;/div&gt;&lt;/div&gt;&lt;/div&gt;&lt;/a&gt;&lt;/div&gt;&lt;script&gt;var js",F76," = document.getElementById('",F76,"').innerHTML;&lt;/script&gt;")</f>
        <v>0</v>
      </c>
      <c r="Q76" s="17" t="str">
        <f t="shared" si="2"/>
        <v xml:space="preserve">    &lt;details class='noSpacing'&gt;&lt;!-- VA Careers and employment - https://www.va.gov/careers-employment --&gt;
      &lt;summary&gt;• &lt;a href='https://www.va.gov/careers-employment' rel='noopener noreferrer'&gt;VA Careers and employment - https://www.va.gov/careers-employment&lt;/a&gt;&lt;/summary&gt;
      &lt;p&gt;&lt;/p&gt;
    &lt;/details&gt;</v>
      </c>
      <c r="R76" s="17" t="e">
        <f>CONCATENATE("          &lt;!-- ",#REF!," - ",#REF!," --&gt;&lt;div id='drag",#REF!,"' class='catAll",IF(#REF!="X"," catArmySites",""),IF(A76="X"," catCombatReadiness",""),IF(B76="X"," catDod",""),IF(C76="X"," catFamily",""),IF(#REF!="X"," catFinance",""),IF(D76="X"," catHealth",""),IF(F76="X"," catHuman",""),IF(G76="X"," catLegal",""),IF(H76="X"," catProDev",""),IF(I76="X"," catTech",""),IF(J76="X"," catMilEd",""),IF(K76="X"," catCivEd",""),IF(M76="X","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6" s="17" t="e">
        <f>CONCATENATE("var js",#REF!," = document.getElementbyId('drag",#REF!,"').innerHTML; //  ",#REF!)</f>
        <v>#REF!</v>
      </c>
    </row>
    <row r="77" spans="1:19" x14ac:dyDescent="0.25">
      <c r="A77" s="19" t="s">
        <v>1266</v>
      </c>
      <c r="B77" s="19"/>
      <c r="C77" s="18" t="s">
        <v>1265</v>
      </c>
      <c r="E77" s="17" t="s">
        <v>639</v>
      </c>
      <c r="F77" s="17" t="s">
        <v>1264</v>
      </c>
      <c r="G77" s="17" t="s">
        <v>480</v>
      </c>
      <c r="I77" s="17" t="s">
        <v>480</v>
      </c>
      <c r="O77" s="17" t="str">
        <f>CONCATENATE("var js",Table13[[#This Row],[ID]]," = document.getElementbyId('",Table13[[#This Row],[ID]],"').innerHTML; //  ",Table13[[#This Row],[Site]])</f>
        <v>var jsTA076 = document.getElementbyId('TA076').innerHTML; //  VA Caregiver Support Program</v>
      </c>
      <c r="P77" s="17">
        <f ca="1">CONCATENATE("        &lt;!--",A77," - ",C77," --&gt;&lt;div class='column catAll",IF(I77="X"," catArmySites",""),IF(J77="X"," catCombatReadiness",""),IF(K77="X"," catDod",""),IF(M77="X"," catFamily",""),IF(N77="X"," catFinance",""),IF(O77="X"," catHealth",""),IF(P77="X"," catHuman",""),IF(Q77="X"," catLegal",""),IF(R77="X"," catProDev",""),IF(S77="X"," catTech",""),IF(T77="X"," catMilEd",""),IF(U77="X"," catCivEd",""),IF(V77="X"," catUsGov",""),"' style='margin-bottom: 0px;' id='",F77,"'&gt;&lt;a href='",C77,"' rel='noopener noreferrer' class='column hideMarquee'&gt;&lt;div class='armyCardContainer card'&gt;&lt;div class='armyCard'&gt;&lt;div&gt;&lt;p class='marquee'&gt;",D77,"&lt;/p&gt;",IF(H77="Yes","&lt;img src='assets/CaCRequired.png' title='A CAC is required to use some or all features of this site!' Class='cacLocked'&gt;",""),IF(G77="Yes","&lt;img src='assets/DODlock.png' title='This Site requires a DoD network connection to be used!' Class='dodLocked'&gt;",""),"&lt;img src='assets/",#REF!,"' class='cardImage' loading='lazy'&gt;&lt;/div&gt;&lt;div class='title'&gt;&lt;span&gt;",A77,"&lt;/span&gt;&lt;/div&gt;&lt;/div&gt;&lt;/div&gt;&lt;/a&gt;&lt;/div&gt;&lt;script&gt;var js",F77," = document.getElementById('",F77,"').innerHTML;&lt;/script&gt;")</f>
        <v>0</v>
      </c>
      <c r="Q77" s="17" t="str">
        <f t="shared" si="2"/>
        <v xml:space="preserve">    &lt;details class='noSpacing'&gt;&lt;!-- VA Caregiver Support Program - https://www.caregiver.va.gov --&gt;
      &lt;summary&gt;• &lt;a href='https://www.caregiver.va.gov' rel='noopener noreferrer'&gt;VA Caregiver Support Program - https://www.caregiver.va.gov&lt;/a&gt;&lt;/summary&gt;
      &lt;p&gt;&lt;/p&gt;
    &lt;/details&gt;</v>
      </c>
      <c r="R77" s="17" t="e">
        <f>CONCATENATE("          &lt;!-- ",#REF!," - ",#REF!," --&gt;&lt;div id='drag",#REF!,"' class='catAll",IF(#REF!="X"," catArmySites",""),IF(A77="X"," catCombatReadiness",""),IF(B77="X"," catDod",""),IF(C77="X"," catFamily",""),IF(#REF!="X"," catFinance",""),IF(D77="X"," catHealth",""),IF(F77="X"," catHuman",""),IF(G77="X"," catLegal",""),IF(H77="X"," catProDev",""),IF(I77="X"," catTech",""),IF(J77="X"," catMilEd",""),IF(K77="X"," catCivEd",""),IF(M77="X","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7" s="17" t="e">
        <f>CONCATENATE("var js",#REF!," = document.getElementbyId('drag",#REF!,"').innerHTML; //  ",#REF!)</f>
        <v>#REF!</v>
      </c>
    </row>
    <row r="78" spans="1:19" x14ac:dyDescent="0.25">
      <c r="A78" s="19" t="s">
        <v>1263</v>
      </c>
      <c r="B78" s="19"/>
      <c r="C78" s="18" t="s">
        <v>1262</v>
      </c>
      <c r="E78" s="17" t="s">
        <v>639</v>
      </c>
      <c r="F78" s="17" t="s">
        <v>1261</v>
      </c>
      <c r="G78" s="17" t="s">
        <v>480</v>
      </c>
      <c r="I78" s="17" t="s">
        <v>480</v>
      </c>
      <c r="O78" s="17" t="str">
        <f>CONCATENATE("var js",Table13[[#This Row],[ID]]," = document.getElementbyId('",Table13[[#This Row],[ID]],"').innerHTML; //  ",Table13[[#This Row],[Site]])</f>
        <v>var jsTA077 = document.getElementbyId('TA077').innerHTML; //  VA Center for Development and Civic Engagement</v>
      </c>
      <c r="P78" s="17">
        <f ca="1">CONCATENATE("        &lt;!--",A78," - ",C78," --&gt;&lt;div class='column catAll",IF(I78="X"," catArmySites",""),IF(J78="X"," catCombatReadiness",""),IF(K78="X"," catDod",""),IF(M78="X"," catFamily",""),IF(N78="X"," catFinance",""),IF(O78="X"," catHealth",""),IF(P78="X"," catHuman",""),IF(Q78="X"," catLegal",""),IF(R78="X"," catProDev",""),IF(S78="X"," catTech",""),IF(T78="X"," catMilEd",""),IF(U78="X"," catCivEd",""),IF(V78="X"," catUsGov",""),"' style='margin-bottom: 0px;' id='",F78,"'&gt;&lt;a href='",C78,"' rel='noopener noreferrer' class='column hideMarquee'&gt;&lt;div class='armyCardContainer card'&gt;&lt;div class='armyCard'&gt;&lt;div&gt;&lt;p class='marquee'&gt;",D78,"&lt;/p&gt;",IF(H78="Yes","&lt;img src='assets/CaCRequired.png' title='A CAC is required to use some or all features of this site!' Class='cacLocked'&gt;",""),IF(G78="Yes","&lt;img src='assets/DODlock.png' title='This Site requires a DoD network connection to be used!' Class='dodLocked'&gt;",""),"&lt;img src='assets/",#REF!,"' class='cardImage' loading='lazy'&gt;&lt;/div&gt;&lt;div class='title'&gt;&lt;span&gt;",A78,"&lt;/span&gt;&lt;/div&gt;&lt;/div&gt;&lt;/div&gt;&lt;/a&gt;&lt;/div&gt;&lt;script&gt;var js",F78," = document.getElementById('",F78,"').innerHTML;&lt;/script&gt;")</f>
        <v>0</v>
      </c>
      <c r="Q78" s="17" t="str">
        <f t="shared" si="2"/>
        <v xml:space="preserve">    &lt;details class='noSpacing'&gt;&lt;!-- VA Center for Development and Civic Engagement - https://www.volunteer.VA.gov --&gt;
      &lt;summary&gt;• &lt;a href='https://www.volunteer.VA.gov' rel='noopener noreferrer'&gt;VA Center for Development and Civic Engagement - https://www.volunteer.VA.gov&lt;/a&gt;&lt;/summary&gt;
      &lt;p&gt;&lt;/p&gt;
    &lt;/details&gt;</v>
      </c>
      <c r="R78" s="17" t="e">
        <f>CONCATENATE("          &lt;!-- ",#REF!," - ",#REF!," --&gt;&lt;div id='drag",#REF!,"' class='catAll",IF(#REF!="X"," catArmySites",""),IF(A78="X"," catCombatReadiness",""),IF(B78="X"," catDod",""),IF(C78="X"," catFamily",""),IF(#REF!="X"," catFinance",""),IF(D78="X"," catHealth",""),IF(F78="X"," catHuman",""),IF(G78="X"," catLegal",""),IF(H78="X"," catProDev",""),IF(I78="X"," catTech",""),IF(J78="X"," catMilEd",""),IF(K78="X"," catCivEd",""),IF(M78="X","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8" s="17" t="e">
        <f>CONCATENATE("var js",#REF!," = document.getElementbyId('drag",#REF!,"').innerHTML; //  ",#REF!)</f>
        <v>#REF!</v>
      </c>
    </row>
    <row r="79" spans="1:19" x14ac:dyDescent="0.25">
      <c r="A79" s="19" t="s">
        <v>1260</v>
      </c>
      <c r="B79" s="19"/>
      <c r="C79" s="18" t="s">
        <v>1259</v>
      </c>
      <c r="E79" s="17" t="s">
        <v>639</v>
      </c>
      <c r="F79" s="17" t="s">
        <v>1258</v>
      </c>
      <c r="G79" s="17" t="s">
        <v>480</v>
      </c>
      <c r="I79" s="17" t="s">
        <v>480</v>
      </c>
      <c r="O79" s="17" t="str">
        <f>CONCATENATE("var js",Table13[[#This Row],[ID]]," = document.getElementbyId('",Table13[[#This Row],[ID]],"').innerHTML; //  ",Table13[[#This Row],[Site]])</f>
        <v>var jsTA078 = document.getElementbyId('TA078').innerHTML; //  VA Community Care</v>
      </c>
      <c r="P79" s="17">
        <f ca="1">CONCATENATE("        &lt;!--",A79," - ",C79," --&gt;&lt;div class='column catAll",IF(I79="X"," catArmySites",""),IF(J79="X"," catCombatReadiness",""),IF(K79="X"," catDod",""),IF(M79="X"," catFamily",""),IF(N79="X"," catFinance",""),IF(O79="X"," catHealth",""),IF(P79="X"," catHuman",""),IF(Q79="X"," catLegal",""),IF(R79="X"," catProDev",""),IF(S79="X"," catTech",""),IF(T79="X"," catMilEd",""),IF(U79="X"," catCivEd",""),IF(V79="X"," catUsGov",""),"' style='margin-bottom: 0px;' id='",F79,"'&gt;&lt;a href='",C79,"' rel='noopener noreferrer' class='column hideMarquee'&gt;&lt;div class='armyCardContainer card'&gt;&lt;div class='armyCard'&gt;&lt;div&gt;&lt;p class='marquee'&gt;",D79,"&lt;/p&gt;",IF(H79="Yes","&lt;img src='assets/CaCRequired.png' title='A CAC is required to use some or all features of this site!' Class='cacLocked'&gt;",""),IF(G79="Yes","&lt;img src='assets/DODlock.png' title='This Site requires a DoD network connection to be used!' Class='dodLocked'&gt;",""),"&lt;img src='assets/",#REF!,"' class='cardImage' loading='lazy'&gt;&lt;/div&gt;&lt;div class='title'&gt;&lt;span&gt;",A79,"&lt;/span&gt;&lt;/div&gt;&lt;/div&gt;&lt;/div&gt;&lt;/a&gt;&lt;/div&gt;&lt;script&gt;var js",F79," = document.getElementById('",F79,"').innerHTML;&lt;/script&gt;")</f>
        <v>0</v>
      </c>
      <c r="Q79" s="17" t="str">
        <f t="shared" si="2"/>
        <v xml:space="preserve">    &lt;details class='noSpacing'&gt;&lt;!-- VA Community Care - https://www.va.gov/communitycare --&gt;
      &lt;summary&gt;• &lt;a href='https://www.va.gov/communitycare' rel='noopener noreferrer'&gt;VA Community Care - https://www.va.gov/communitycare&lt;/a&gt;&lt;/summary&gt;
      &lt;p&gt;&lt;/p&gt;
    &lt;/details&gt;</v>
      </c>
      <c r="R79" s="17" t="e">
        <f>CONCATENATE("          &lt;!-- ",#REF!," - ",#REF!," --&gt;&lt;div id='drag",#REF!,"' class='catAll",IF(#REF!="X"," catArmySites",""),IF(A79="X"," catCombatReadiness",""),IF(B79="X"," catDod",""),IF(C79="X"," catFamily",""),IF(#REF!="X"," catFinance",""),IF(D79="X"," catHealth",""),IF(F79="X"," catHuman",""),IF(G79="X"," catLegal",""),IF(H79="X"," catProDev",""),IF(I79="X"," catTech",""),IF(J79="X"," catMilEd",""),IF(K79="X"," catCivEd",""),IF(M79="X","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79" s="17" t="e">
        <f>CONCATENATE("var js",#REF!," = document.getElementbyId('drag",#REF!,"').innerHTML; //  ",#REF!)</f>
        <v>#REF!</v>
      </c>
    </row>
    <row r="80" spans="1:19" x14ac:dyDescent="0.25">
      <c r="A80" s="19" t="s">
        <v>1257</v>
      </c>
      <c r="B80" s="19"/>
      <c r="C80" s="18" t="s">
        <v>1256</v>
      </c>
      <c r="E80" s="17" t="s">
        <v>639</v>
      </c>
      <c r="F80" s="17" t="s">
        <v>1255</v>
      </c>
      <c r="G80" s="17" t="s">
        <v>480</v>
      </c>
      <c r="I80" s="17" t="s">
        <v>480</v>
      </c>
      <c r="O80" s="17" t="str">
        <f>CONCATENATE("var js",Table13[[#This Row],[ID]]," = document.getElementbyId('",Table13[[#This Row],[ID]],"').innerHTML; //  ",Table13[[#This Row],[Site]])</f>
        <v>var jsTA079 = document.getElementbyId('TA079').innerHTML; //  VA Dental Insurance Program (VADIP)</v>
      </c>
      <c r="P80" s="17">
        <f ca="1">CONCATENATE("        &lt;!--",A80," - ",C80," --&gt;&lt;div class='column catAll",IF(I80="X"," catArmySites",""),IF(J80="X"," catCombatReadiness",""),IF(K80="X"," catDod",""),IF(M80="X"," catFamily",""),IF(N80="X"," catFinance",""),IF(O80="X"," catHealth",""),IF(P80="X"," catHuman",""),IF(Q80="X"," catLegal",""),IF(R80="X"," catProDev",""),IF(S80="X"," catTech",""),IF(T80="X"," catMilEd",""),IF(U80="X"," catCivEd",""),IF(V80="X"," catUsGov",""),"' style='margin-bottom: 0px;' id='",F80,"'&gt;&lt;a href='",C80,"' rel='noopener noreferrer' class='column hideMarquee'&gt;&lt;div class='armyCardContainer card'&gt;&lt;div class='armyCard'&gt;&lt;div&gt;&lt;p class='marquee'&gt;",D80,"&lt;/p&gt;",IF(H80="Yes","&lt;img src='assets/CaCRequired.png' title='A CAC is required to use some or all features of this site!' Class='cacLocked'&gt;",""),IF(G80="Yes","&lt;img src='assets/DODlock.png' title='This Site requires a DoD network connection to be used!' Class='dodLocked'&gt;",""),"&lt;img src='assets/",#REF!,"' class='cardImage' loading='lazy'&gt;&lt;/div&gt;&lt;div class='title'&gt;&lt;span&gt;",A80,"&lt;/span&gt;&lt;/div&gt;&lt;/div&gt;&lt;/div&gt;&lt;/a&gt;&lt;/div&gt;&lt;script&gt;var js",F80," = document.getElementById('",F80,"').innerHTML;&lt;/script&gt;")</f>
        <v>0</v>
      </c>
      <c r="Q80" s="17" t="str">
        <f t="shared" si="2"/>
        <v xml:space="preserve">    &lt;details class='noSpacing'&gt;&lt;!-- VA Dental Insurance Program (VADIP) - https://www.va.gov/healthbenefits/vadip --&gt;
      &lt;summary&gt;• &lt;a href='https://www.va.gov/healthbenefits/vadip' rel='noopener noreferrer'&gt;VA Dental Insurance Program (VADIP) - https://www.va.gov/healthbenefits/vadip&lt;/a&gt;&lt;/summary&gt;
      &lt;p&gt;&lt;/p&gt;
    &lt;/details&gt;</v>
      </c>
      <c r="R80" s="17" t="e">
        <f>CONCATENATE("          &lt;!-- ",#REF!," - ",#REF!," --&gt;&lt;div id='drag",#REF!,"' class='catAll",IF(#REF!="X"," catArmySites",""),IF(A80="X"," catCombatReadiness",""),IF(B80="X"," catDod",""),IF(C80="X"," catFamily",""),IF(#REF!="X"," catFinance",""),IF(D80="X"," catHealth",""),IF(F80="X"," catHuman",""),IF(G80="X"," catLegal",""),IF(H80="X"," catProDev",""),IF(I80="X"," catTech",""),IF(J80="X"," catMilEd",""),IF(K80="X"," catCivEd",""),IF(M80="X","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0" s="17" t="e">
        <f>CONCATENATE("var js",#REF!," = document.getElementbyId('drag",#REF!,"').innerHTML; //  ",#REF!)</f>
        <v>#REF!</v>
      </c>
    </row>
    <row r="81" spans="1:19" x14ac:dyDescent="0.25">
      <c r="A81" s="19" t="s">
        <v>1254</v>
      </c>
      <c r="B81" s="19"/>
      <c r="C81" s="18" t="s">
        <v>1253</v>
      </c>
      <c r="E81" s="17" t="s">
        <v>639</v>
      </c>
      <c r="F81" s="17" t="s">
        <v>1252</v>
      </c>
      <c r="I81" s="17" t="s">
        <v>480</v>
      </c>
      <c r="M81" s="17" t="s">
        <v>480</v>
      </c>
      <c r="O81" s="17" t="str">
        <f>CONCATENATE("var js",Table13[[#This Row],[ID]]," = document.getElementbyId('",Table13[[#This Row],[ID]],"').innerHTML; //  ",Table13[[#This Row],[Site]])</f>
        <v>var jsTA080 = document.getElementbyId('TA080').innerHTML; //  VA direct deposit information</v>
      </c>
      <c r="P81" s="17">
        <f ca="1">CONCATENATE("        &lt;!--",A81," - ",C81," --&gt;&lt;div class='column catAll",IF(I81="X"," catArmySites",""),IF(J81="X"," catCombatReadiness",""),IF(K81="X"," catDod",""),IF(M81="X"," catFamily",""),IF(N81="X"," catFinance",""),IF(O81="X"," catHealth",""),IF(P81="X"," catHuman",""),IF(Q81="X"," catLegal",""),IF(R81="X"," catProDev",""),IF(S81="X"," catTech",""),IF(T81="X"," catMilEd",""),IF(U81="X"," catCivEd",""),IF(V81="X"," catUsGov",""),"' style='margin-bottom: 0px;' id='",F81,"'&gt;&lt;a href='",C81,"' rel='noopener noreferrer' class='column hideMarquee'&gt;&lt;div class='armyCardContainer card'&gt;&lt;div class='armyCard'&gt;&lt;div&gt;&lt;p class='marquee'&gt;",D81,"&lt;/p&gt;",IF(H81="Yes","&lt;img src='assets/CaCRequired.png' title='A CAC is required to use some or all features of this site!' Class='cacLocked'&gt;",""),IF(G81="Yes","&lt;img src='assets/DODlock.png' title='This Site requires a DoD network connection to be used!' Class='dodLocked'&gt;",""),"&lt;img src='assets/",#REF!,"' class='cardImage' loading='lazy'&gt;&lt;/div&gt;&lt;div class='title'&gt;&lt;span&gt;",A81,"&lt;/span&gt;&lt;/div&gt;&lt;/div&gt;&lt;/div&gt;&lt;/a&gt;&lt;/div&gt;&lt;script&gt;var js",F81," = document.getElementById('",F81,"').innerHTML;&lt;/script&gt;")</f>
        <v>0</v>
      </c>
      <c r="Q81" s="17" t="str">
        <f t="shared" si="2"/>
        <v xml:space="preserve">    &lt;details class='noSpacing'&gt;&lt;!-- VA direct deposit information - https://www.va.gov/change-direct-deposit --&gt;
      &lt;summary&gt;• &lt;a href='https://www.va.gov/change-direct-deposit' rel='noopener noreferrer'&gt;VA direct deposit information - https://www.va.gov/change-direct-deposit&lt;/a&gt;&lt;/summary&gt;
      &lt;p&gt;&lt;/p&gt;
    &lt;/details&gt;</v>
      </c>
      <c r="R81" s="17" t="e">
        <f>CONCATENATE("          &lt;!-- ",#REF!," - ",#REF!," --&gt;&lt;div id='drag",#REF!,"' class='catAll",IF(#REF!="X"," catArmySites",""),IF(A81="X"," catCombatReadiness",""),IF(B81="X"," catDod",""),IF(C81="X"," catFamily",""),IF(#REF!="X"," catFinance",""),IF(D81="X"," catHealth",""),IF(F81="X"," catHuman",""),IF(G81="X"," catLegal",""),IF(H81="X"," catProDev",""),IF(I81="X"," catTech",""),IF(J81="X"," catMilEd",""),IF(K81="X"," catCivEd",""),IF(M81="X","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1" s="17" t="e">
        <f>CONCATENATE("var js",#REF!," = document.getElementbyId('drag",#REF!,"').innerHTML; //  ",#REF!)</f>
        <v>#REF!</v>
      </c>
    </row>
    <row r="82" spans="1:19" x14ac:dyDescent="0.25">
      <c r="A82" s="19" t="s">
        <v>1251</v>
      </c>
      <c r="B82" s="19"/>
      <c r="C82" s="18" t="s">
        <v>1250</v>
      </c>
      <c r="E82" s="17" t="s">
        <v>639</v>
      </c>
      <c r="F82" s="17" t="s">
        <v>1249</v>
      </c>
      <c r="I82" s="17" t="s">
        <v>480</v>
      </c>
      <c r="M82" s="17" t="s">
        <v>480</v>
      </c>
      <c r="N82" s="17" t="s">
        <v>480</v>
      </c>
      <c r="O82" s="17" t="str">
        <f>CONCATENATE("var js",Table13[[#This Row],[ID]]," = document.getElementbyId('",Table13[[#This Row],[ID]],"').innerHTML; //  ",Table13[[#This Row],[Site]])</f>
        <v>var jsTA081 = document.getElementbyId('TA081').innerHTML; //  VA disability compensation</v>
      </c>
      <c r="P82" s="17">
        <f ca="1">CONCATENATE("        &lt;!--",A82," - ",C82," --&gt;&lt;div class='column catAll",IF(I82="X"," catArmySites",""),IF(J82="X"," catCombatReadiness",""),IF(K82="X"," catDod",""),IF(M82="X"," catFamily",""),IF(N82="X"," catFinance",""),IF(O82="X"," catHealth",""),IF(P82="X"," catHuman",""),IF(Q82="X"," catLegal",""),IF(R82="X"," catProDev",""),IF(S82="X"," catTech",""),IF(T82="X"," catMilEd",""),IF(U82="X"," catCivEd",""),IF(V82="X"," catUsGov",""),"' style='margin-bottom: 0px;' id='",F82,"'&gt;&lt;a href='",C82,"' rel='noopener noreferrer' class='column hideMarquee'&gt;&lt;div class='armyCardContainer card'&gt;&lt;div class='armyCard'&gt;&lt;div&gt;&lt;p class='marquee'&gt;",D82,"&lt;/p&gt;",IF(H82="Yes","&lt;img src='assets/CaCRequired.png' title='A CAC is required to use some or all features of this site!' Class='cacLocked'&gt;",""),IF(G82="Yes","&lt;img src='assets/DODlock.png' title='This Site requires a DoD network connection to be used!' Class='dodLocked'&gt;",""),"&lt;img src='assets/",#REF!,"' class='cardImage' loading='lazy'&gt;&lt;/div&gt;&lt;div class='title'&gt;&lt;span&gt;",A82,"&lt;/span&gt;&lt;/div&gt;&lt;/div&gt;&lt;/div&gt;&lt;/a&gt;&lt;/div&gt;&lt;script&gt;var js",F82," = document.getElementById('",F82,"').innerHTML;&lt;/script&gt;")</f>
        <v>0</v>
      </c>
      <c r="Q82" s="17" t="str">
        <f t="shared" si="2"/>
        <v xml:space="preserve">    &lt;details class='noSpacing'&gt;&lt;!-- VA disability compensation - https://www.va.gov/disability --&gt;
      &lt;summary&gt;• &lt;a href='https://www.va.gov/disability' rel='noopener noreferrer'&gt;VA disability compensation - https://www.va.gov/disability&lt;/a&gt;&lt;/summary&gt;
      &lt;p&gt;&lt;/p&gt;
    &lt;/details&gt;</v>
      </c>
      <c r="R82" s="17" t="e">
        <f>CONCATENATE("          &lt;!-- ",#REF!," - ",#REF!," --&gt;&lt;div id='drag",#REF!,"' class='catAll",IF(#REF!="X"," catArmySites",""),IF(A82="X"," catCombatReadiness",""),IF(B82="X"," catDod",""),IF(C82="X"," catFamily",""),IF(#REF!="X"," catFinance",""),IF(D82="X"," catHealth",""),IF(F82="X"," catHuman",""),IF(G82="X"," catLegal",""),IF(H82="X"," catProDev",""),IF(I82="X"," catTech",""),IF(J82="X"," catMilEd",""),IF(K82="X"," catCivEd",""),IF(M82="X","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2" s="17" t="e">
        <f>CONCATENATE("var js",#REF!," = document.getElementbyId('drag",#REF!,"').innerHTML; //  ",#REF!)</f>
        <v>#REF!</v>
      </c>
    </row>
    <row r="83" spans="1:19" x14ac:dyDescent="0.25">
      <c r="A83" s="19" t="s">
        <v>1248</v>
      </c>
      <c r="B83" s="19"/>
      <c r="C83" s="18" t="s">
        <v>1247</v>
      </c>
      <c r="E83" s="17" t="s">
        <v>639</v>
      </c>
      <c r="F83" s="17" t="s">
        <v>1246</v>
      </c>
      <c r="I83" s="17" t="s">
        <v>480</v>
      </c>
      <c r="K83" s="17" t="s">
        <v>480</v>
      </c>
      <c r="O83" s="17" t="str">
        <f>CONCATENATE("var js",Table13[[#This Row],[ID]]," = document.getElementbyId('",Table13[[#This Row],[ID]],"').innerHTML; //  ",Table13[[#This Row],[Site]])</f>
        <v>var jsTA082 = document.getElementbyId('TA082').innerHTML; //  VA Edith Nourse Rogers STEM Scholarship</v>
      </c>
      <c r="P83" s="17">
        <f ca="1">CONCATENATE("        &lt;!--",A83," - ",C83," --&gt;&lt;div class='column catAll",IF(I83="X"," catArmySites",""),IF(J83="X"," catCombatReadiness",""),IF(K83="X"," catDod",""),IF(M83="X"," catFamily",""),IF(N83="X"," catFinance",""),IF(O83="X"," catHealth",""),IF(P83="X"," catHuman",""),IF(Q83="X"," catLegal",""),IF(R83="X"," catProDev",""),IF(S83="X"," catTech",""),IF(T83="X"," catMilEd",""),IF(U83="X"," catCivEd",""),IF(V83="X"," catUsGov",""),"' style='margin-bottom: 0px;' id='",F83,"'&gt;&lt;a href='",C83,"' rel='noopener noreferrer' class='column hideMarquee'&gt;&lt;div class='armyCardContainer card'&gt;&lt;div class='armyCard'&gt;&lt;div&gt;&lt;p class='marquee'&gt;",D83,"&lt;/p&gt;",IF(H83="Yes","&lt;img src='assets/CaCRequired.png' title='A CAC is required to use some or all features of this site!' Class='cacLocked'&gt;",""),IF(G83="Yes","&lt;img src='assets/DODlock.png' title='This Site requires a DoD network connection to be used!' Class='dodLocked'&gt;",""),"&lt;img src='assets/",#REF!,"' class='cardImage' loading='lazy'&gt;&lt;/div&gt;&lt;div class='title'&gt;&lt;span&gt;",A83,"&lt;/span&gt;&lt;/div&gt;&lt;/div&gt;&lt;/div&gt;&lt;/a&gt;&lt;/div&gt;&lt;script&gt;var js",F83," = document.getElementById('",F83,"').innerHTML;&lt;/script&gt;")</f>
        <v>0</v>
      </c>
      <c r="Q83" s="17" t="str">
        <f t="shared" si="2"/>
        <v xml:space="preserve">    &lt;details class='noSpacing'&gt;&lt;!-- VA Edith Nourse Rogers STEM Scholarship - https://www.va.gov/education/other-va-education-benefits/stem-scholarship --&gt;
      &lt;summary&gt;• &lt;a href='https://www.va.gov/education/other-va-education-benefits/stem-scholarship' rel='noopener noreferrer'&gt;VA Edith Nourse Rogers STEM Scholarship - https://www.va.gov/education/other-va-education-benefits/stem-scholarship&lt;/a&gt;&lt;/summary&gt;
      &lt;p&gt;&lt;/p&gt;
    &lt;/details&gt;</v>
      </c>
      <c r="R83" s="17" t="e">
        <f>CONCATENATE("          &lt;!-- ",#REF!," - ",#REF!," --&gt;&lt;div id='drag",#REF!,"' class='catAll",IF(#REF!="X"," catArmySites",""),IF(A83="X"," catCombatReadiness",""),IF(B83="X"," catDod",""),IF(C83="X"," catFamily",""),IF(#REF!="X"," catFinance",""),IF(D83="X"," catHealth",""),IF(F83="X"," catHuman",""),IF(G83="X"," catLegal",""),IF(H83="X"," catProDev",""),IF(I83="X"," catTech",""),IF(J83="X"," catMilEd",""),IF(K83="X"," catCivEd",""),IF(M83="X","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3" s="17" t="e">
        <f>CONCATENATE("var js",#REF!," = document.getElementbyId('drag",#REF!,"').innerHTML; //  ",#REF!)</f>
        <v>#REF!</v>
      </c>
    </row>
    <row r="84" spans="1:19" x14ac:dyDescent="0.25">
      <c r="A84" s="19" t="s">
        <v>1245</v>
      </c>
      <c r="B84" s="19"/>
      <c r="C84" s="18" t="s">
        <v>1244</v>
      </c>
      <c r="E84" s="17" t="s">
        <v>639</v>
      </c>
      <c r="F84" s="17" t="s">
        <v>1243</v>
      </c>
      <c r="I84" s="17" t="s">
        <v>480</v>
      </c>
      <c r="K84" s="17" t="s">
        <v>480</v>
      </c>
      <c r="N84" s="17" t="s">
        <v>480</v>
      </c>
      <c r="O84" s="17" t="str">
        <f>CONCATENATE("var js",Table13[[#This Row],[ID]]," = document.getElementbyId('",Table13[[#This Row],[ID]],"').innerHTML; //  ",Table13[[#This Row],[Site]])</f>
        <v>var jsTA083 = document.getElementbyId('TA083').innerHTML; //  VA education and training benefits</v>
      </c>
      <c r="P84" s="17">
        <f ca="1">CONCATENATE("        &lt;!--",A84," - ",C84," --&gt;&lt;div class='column catAll",IF(I84="X"," catArmySites",""),IF(J84="X"," catCombatReadiness",""),IF(K84="X"," catDod",""),IF(M84="X"," catFamily",""),IF(N84="X"," catFinance",""),IF(O84="X"," catHealth",""),IF(P84="X"," catHuman",""),IF(Q84="X"," catLegal",""),IF(R84="X"," catProDev",""),IF(S84="X"," catTech",""),IF(T84="X"," catMilEd",""),IF(U84="X"," catCivEd",""),IF(V84="X"," catUsGov",""),"' style='margin-bottom: 0px;' id='",F84,"'&gt;&lt;a href='",C84,"' rel='noopener noreferrer' class='column hideMarquee'&gt;&lt;div class='armyCardContainer card'&gt;&lt;div class='armyCard'&gt;&lt;div&gt;&lt;p class='marquee'&gt;",D84,"&lt;/p&gt;",IF(H84="Yes","&lt;img src='assets/CaCRequired.png' title='A CAC is required to use some or all features of this site!' Class='cacLocked'&gt;",""),IF(G84="Yes","&lt;img src='assets/DODlock.png' title='This Site requires a DoD network connection to be used!' Class='dodLocked'&gt;",""),"&lt;img src='assets/",#REF!,"' class='cardImage' loading='lazy'&gt;&lt;/div&gt;&lt;div class='title'&gt;&lt;span&gt;",A84,"&lt;/span&gt;&lt;/div&gt;&lt;/div&gt;&lt;/div&gt;&lt;/a&gt;&lt;/div&gt;&lt;script&gt;var js",F84," = document.getElementById('",F84,"').innerHTML;&lt;/script&gt;")</f>
        <v>0</v>
      </c>
      <c r="Q84" s="17" t="str">
        <f t="shared" si="2"/>
        <v xml:space="preserve">    &lt;details class='noSpacing'&gt;&lt;!-- VA education and training benefits - https://www.va.gov/education --&gt;
      &lt;summary&gt;• &lt;a href='https://www.va.gov/education' rel='noopener noreferrer'&gt;VA education and training benefits - https://www.va.gov/education&lt;/a&gt;&lt;/summary&gt;
      &lt;p&gt;&lt;/p&gt;
    &lt;/details&gt;</v>
      </c>
      <c r="R84" s="17" t="e">
        <f>CONCATENATE("          &lt;!-- ",#REF!," - ",#REF!," --&gt;&lt;div id='drag",#REF!,"' class='catAll",IF(#REF!="X"," catArmySites",""),IF(A84="X"," catCombatReadiness",""),IF(B84="X"," catDod",""),IF(C84="X"," catFamily",""),IF(#REF!="X"," catFinance",""),IF(D84="X"," catHealth",""),IF(F84="X"," catHuman",""),IF(G84="X"," catLegal",""),IF(H84="X"," catProDev",""),IF(I84="X"," catTech",""),IF(J84="X"," catMilEd",""),IF(K84="X"," catCivEd",""),IF(M84="X","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4" s="17" t="e">
        <f>CONCATENATE("var js",#REF!," = document.getElementbyId('drag",#REF!,"').innerHTML; //  ",#REF!)</f>
        <v>#REF!</v>
      </c>
    </row>
    <row r="85" spans="1:19" x14ac:dyDescent="0.25">
      <c r="A85" s="19" t="s">
        <v>1242</v>
      </c>
      <c r="B85" s="19"/>
      <c r="C85" s="18" t="s">
        <v>1241</v>
      </c>
      <c r="E85" s="17" t="s">
        <v>639</v>
      </c>
      <c r="F85" s="17" t="s">
        <v>1240</v>
      </c>
      <c r="G85" s="17" t="s">
        <v>480</v>
      </c>
      <c r="I85" s="17" t="s">
        <v>480</v>
      </c>
      <c r="O85" s="17" t="str">
        <f>CONCATENATE("var js",Table13[[#This Row],[ID]]," = document.getElementbyId('",Table13[[#This Row],[ID]],"').innerHTML; //  ",Table13[[#This Row],[Site]])</f>
        <v>var jsTA084 = document.getElementbyId('TA084').innerHTML; //  VA Foreign Medical Program (FMP)</v>
      </c>
      <c r="P85" s="17">
        <f ca="1">CONCATENATE("        &lt;!--",A85," - ",C85," --&gt;&lt;div class='column catAll",IF(I85="X"," catArmySites",""),IF(J85="X"," catCombatReadiness",""),IF(K85="X"," catDod",""),IF(M85="X"," catFamily",""),IF(N85="X"," catFinance",""),IF(O85="X"," catHealth",""),IF(P85="X"," catHuman",""),IF(Q85="X"," catLegal",""),IF(R85="X"," catProDev",""),IF(S85="X"," catTech",""),IF(T85="X"," catMilEd",""),IF(U85="X"," catCivEd",""),IF(V85="X"," catUsGov",""),"' style='margin-bottom: 0px;' id='",F85,"'&gt;&lt;a href='",C85,"' rel='noopener noreferrer' class='column hideMarquee'&gt;&lt;div class='armyCardContainer card'&gt;&lt;div class='armyCard'&gt;&lt;div&gt;&lt;p class='marquee'&gt;",D85,"&lt;/p&gt;",IF(H85="Yes","&lt;img src='assets/CaCRequired.png' title='A CAC is required to use some or all features of this site!' Class='cacLocked'&gt;",""),IF(G85="Yes","&lt;img src='assets/DODlock.png' title='This Site requires a DoD network connection to be used!' Class='dodLocked'&gt;",""),"&lt;img src='assets/",#REF!,"' class='cardImage' loading='lazy'&gt;&lt;/div&gt;&lt;div class='title'&gt;&lt;span&gt;",A85,"&lt;/span&gt;&lt;/div&gt;&lt;/div&gt;&lt;/div&gt;&lt;/a&gt;&lt;/div&gt;&lt;script&gt;var js",F85," = document.getElementById('",F85,"').innerHTML;&lt;/script&gt;")</f>
        <v>0</v>
      </c>
      <c r="Q85" s="17" t="str">
        <f t="shared" si="2"/>
        <v xml:space="preserve">    &lt;details class='noSpacing'&gt;&lt;!-- VA Foreign Medical Program (FMP) - https://www.va.gov/communitycare/programs/veterans/fmp --&gt;
      &lt;summary&gt;• &lt;a href='https://www.va.gov/communitycare/programs/veterans/fmp' rel='noopener noreferrer'&gt;VA Foreign Medical Program (FMP) - https://www.va.gov/communitycare/programs/veterans/fmp&lt;/a&gt;&lt;/summary&gt;
      &lt;p&gt;&lt;/p&gt;
    &lt;/details&gt;</v>
      </c>
      <c r="R85" s="17" t="e">
        <f>CONCATENATE("          &lt;!-- ",#REF!," - ",#REF!," --&gt;&lt;div id='drag",#REF!,"' class='catAll",IF(#REF!="X"," catArmySites",""),IF(A85="X"," catCombatReadiness",""),IF(B85="X"," catDod",""),IF(C85="X"," catFamily",""),IF(#REF!="X"," catFinance",""),IF(D85="X"," catHealth",""),IF(F85="X"," catHuman",""),IF(G85="X"," catLegal",""),IF(H85="X"," catProDev",""),IF(I85="X"," catTech",""),IF(J85="X"," catMilEd",""),IF(K85="X"," catCivEd",""),IF(M85="X","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5" s="17" t="e">
        <f>CONCATENATE("var js",#REF!," = document.getElementbyId('drag",#REF!,"').innerHTML; //  ",#REF!)</f>
        <v>#REF!</v>
      </c>
    </row>
    <row r="86" spans="1:19" x14ac:dyDescent="0.25">
      <c r="A86" s="19" t="s">
        <v>1239</v>
      </c>
      <c r="B86" s="19"/>
      <c r="C86" s="18" t="s">
        <v>1238</v>
      </c>
      <c r="E86" s="17" t="s">
        <v>639</v>
      </c>
      <c r="F86" s="17" t="s">
        <v>1237</v>
      </c>
      <c r="I86" s="17" t="s">
        <v>480</v>
      </c>
      <c r="K86" s="17" t="s">
        <v>480</v>
      </c>
      <c r="O86" s="17" t="str">
        <f>CONCATENATE("var js",Table13[[#This Row],[ID]]," = document.getElementbyId('",Table13[[#This Row],[ID]],"').innerHTML; //  ",Table13[[#This Row],[Site]])</f>
        <v>var jsTA085 = document.getElementbyId('TA085').innerHTML; //  VA Fry Scholarships</v>
      </c>
      <c r="P86" s="17">
        <f ca="1">CONCATENATE("        &lt;!--",A86," - ",C86," --&gt;&lt;div class='column catAll",IF(I86="X"," catArmySites",""),IF(J86="X"," catCombatReadiness",""),IF(K86="X"," catDod",""),IF(M86="X"," catFamily",""),IF(N86="X"," catFinance",""),IF(O86="X"," catHealth",""),IF(P86="X"," catHuman",""),IF(Q86="X"," catLegal",""),IF(R86="X"," catProDev",""),IF(S86="X"," catTech",""),IF(T86="X"," catMilEd",""),IF(U86="X"," catCivEd",""),IF(V86="X"," catUsGov",""),"' style='margin-bottom: 0px;' id='",F86,"'&gt;&lt;a href='",C86,"' rel='noopener noreferrer' class='column hideMarquee'&gt;&lt;div class='armyCardContainer card'&gt;&lt;div class='armyCard'&gt;&lt;div&gt;&lt;p class='marquee'&gt;",D86,"&lt;/p&gt;",IF(H86="Yes","&lt;img src='assets/CaCRequired.png' title='A CAC is required to use some or all features of this site!' Class='cacLocked'&gt;",""),IF(G86="Yes","&lt;img src='assets/DODlock.png' title='This Site requires a DoD network connection to be used!' Class='dodLocked'&gt;",""),"&lt;img src='assets/",#REF!,"' class='cardImage' loading='lazy'&gt;&lt;/div&gt;&lt;div class='title'&gt;&lt;span&gt;",A86,"&lt;/span&gt;&lt;/div&gt;&lt;/div&gt;&lt;/div&gt;&lt;/a&gt;&lt;/div&gt;&lt;script&gt;var js",F86," = document.getElementById('",F86,"').innerHTML;&lt;/script&gt;")</f>
        <v>0</v>
      </c>
      <c r="Q86" s="17" t="str">
        <f t="shared" si="2"/>
        <v xml:space="preserve">    &lt;details class='noSpacing'&gt;&lt;!-- VA Fry Scholarships - https://www.va.gov/education/survivor-dependent-benefits/fry-scholarship --&gt;
      &lt;summary&gt;• &lt;a href='https://www.va.gov/education/survivor-dependent-benefits/fry-scholarship' rel='noopener noreferrer'&gt;VA Fry Scholarships - https://www.va.gov/education/survivor-dependent-benefits/fry-scholarship&lt;/a&gt;&lt;/summary&gt;
      &lt;p&gt;&lt;/p&gt;
    &lt;/details&gt;</v>
      </c>
      <c r="R86" s="17" t="e">
        <f>CONCATENATE("          &lt;!-- ",#REF!," - ",#REF!," --&gt;&lt;div id='drag",#REF!,"' class='catAll",IF(#REF!="X"," catArmySites",""),IF(A86="X"," catCombatReadiness",""),IF(B86="X"," catDod",""),IF(C86="X"," catFamily",""),IF(#REF!="X"," catFinance",""),IF(D86="X"," catHealth",""),IF(F86="X"," catHuman",""),IF(G86="X"," catLegal",""),IF(H86="X"," catProDev",""),IF(I86="X"," catTech",""),IF(J86="X"," catMilEd",""),IF(K86="X"," catCivEd",""),IF(M86="X","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6" s="17" t="e">
        <f>CONCATENATE("var js",#REF!," = document.getElementbyId('drag",#REF!,"').innerHTML; //  ",#REF!)</f>
        <v>#REF!</v>
      </c>
    </row>
    <row r="87" spans="1:19" x14ac:dyDescent="0.25">
      <c r="A87" s="19" t="s">
        <v>1236</v>
      </c>
      <c r="B87" s="19"/>
      <c r="C87" s="18" t="s">
        <v>1235</v>
      </c>
      <c r="E87" s="17" t="s">
        <v>639</v>
      </c>
      <c r="F87" s="17" t="s">
        <v>1234</v>
      </c>
      <c r="G87" s="17" t="s">
        <v>480</v>
      </c>
      <c r="I87" s="17" t="s">
        <v>480</v>
      </c>
      <c r="N87" s="17" t="s">
        <v>480</v>
      </c>
      <c r="O87" s="17" t="str">
        <f>CONCATENATE("var js",Table13[[#This Row],[ID]]," = document.getElementbyId('",Table13[[#This Row],[ID]],"').innerHTML; //  ",Table13[[#This Row],[Site]])</f>
        <v>var jsTA086 = document.getElementbyId('TA086').innerHTML; //  VA health care</v>
      </c>
      <c r="P87" s="17">
        <f ca="1">CONCATENATE("        &lt;!--",A87," - ",C87," --&gt;&lt;div class='column catAll",IF(I87="X"," catArmySites",""),IF(J87="X"," catCombatReadiness",""),IF(K87="X"," catDod",""),IF(M87="X"," catFamily",""),IF(N87="X"," catFinance",""),IF(O87="X"," catHealth",""),IF(P87="X"," catHuman",""),IF(Q87="X"," catLegal",""),IF(R87="X"," catProDev",""),IF(S87="X"," catTech",""),IF(T87="X"," catMilEd",""),IF(U87="X"," catCivEd",""),IF(V87="X"," catUsGov",""),"' style='margin-bottom: 0px;' id='",F87,"'&gt;&lt;a href='",C87,"' rel='noopener noreferrer' class='column hideMarquee'&gt;&lt;div class='armyCardContainer card'&gt;&lt;div class='armyCard'&gt;&lt;div&gt;&lt;p class='marquee'&gt;",D87,"&lt;/p&gt;",IF(H87="Yes","&lt;img src='assets/CaCRequired.png' title='A CAC is required to use some or all features of this site!' Class='cacLocked'&gt;",""),IF(G87="Yes","&lt;img src='assets/DODlock.png' title='This Site requires a DoD network connection to be used!' Class='dodLocked'&gt;",""),"&lt;img src='assets/",#REF!,"' class='cardImage' loading='lazy'&gt;&lt;/div&gt;&lt;div class='title'&gt;&lt;span&gt;",A87,"&lt;/span&gt;&lt;/div&gt;&lt;/div&gt;&lt;/div&gt;&lt;/a&gt;&lt;/div&gt;&lt;script&gt;var js",F87," = document.getElementById('",F87,"').innerHTML;&lt;/script&gt;")</f>
        <v>0</v>
      </c>
      <c r="Q87" s="17" t="str">
        <f t="shared" si="2"/>
        <v xml:space="preserve">    &lt;details class='noSpacing'&gt;&lt;!-- VA health care - https://www.va.gov/health-care --&gt;
      &lt;summary&gt;• &lt;a href='https://www.va.gov/health-care' rel='noopener noreferrer'&gt;VA health care - https://www.va.gov/health-care&lt;/a&gt;&lt;/summary&gt;
      &lt;p&gt;&lt;/p&gt;
    &lt;/details&gt;</v>
      </c>
      <c r="R87" s="17" t="e">
        <f>CONCATENATE("          &lt;!-- ",#REF!," - ",#REF!," --&gt;&lt;div id='drag",#REF!,"' class='catAll",IF(#REF!="X"," catArmySites",""),IF(A87="X"," catCombatReadiness",""),IF(B87="X"," catDod",""),IF(C87="X"," catFamily",""),IF(#REF!="X"," catFinance",""),IF(D87="X"," catHealth",""),IF(F87="X"," catHuman",""),IF(G87="X"," catLegal",""),IF(H87="X"," catProDev",""),IF(I87="X"," catTech",""),IF(J87="X"," catMilEd",""),IF(K87="X"," catCivEd",""),IF(M87="X","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7" s="17" t="e">
        <f>CONCATENATE("var js",#REF!," = document.getElementbyId('drag",#REF!,"').innerHTML; //  ",#REF!)</f>
        <v>#REF!</v>
      </c>
    </row>
    <row r="88" spans="1:19" x14ac:dyDescent="0.25">
      <c r="A88" s="19" t="s">
        <v>1233</v>
      </c>
      <c r="B88" s="19"/>
      <c r="C88" s="18" t="s">
        <v>1232</v>
      </c>
      <c r="E88" s="17" t="s">
        <v>639</v>
      </c>
      <c r="F88" s="17" t="s">
        <v>1231</v>
      </c>
      <c r="G88" s="17" t="s">
        <v>480</v>
      </c>
      <c r="I88" s="17" t="s">
        <v>480</v>
      </c>
      <c r="O88" s="17" t="str">
        <f>CONCATENATE("var js",Table13[[#This Row],[ID]]," = document.getElementbyId('",Table13[[#This Row],[ID]],"').innerHTML; //  ",Table13[[#This Row],[Site]])</f>
        <v>var jsTA087 = document.getElementbyId('TA087').innerHTML; //  VA health care - Dental</v>
      </c>
      <c r="P88" s="17">
        <f ca="1">CONCATENATE("        &lt;!--",A88," - ",C88," --&gt;&lt;div class='column catAll",IF(I88="X"," catArmySites",""),IF(J88="X"," catCombatReadiness",""),IF(K88="X"," catDod",""),IF(M88="X"," catFamily",""),IF(N88="X"," catFinance",""),IF(O88="X"," catHealth",""),IF(P88="X"," catHuman",""),IF(Q88="X"," catLegal",""),IF(R88="X"," catProDev",""),IF(S88="X"," catTech",""),IF(T88="X"," catMilEd",""),IF(U88="X"," catCivEd",""),IF(V88="X"," catUsGov",""),"' style='margin-bottom: 0px;' id='",F88,"'&gt;&lt;a href='",C88,"' rel='noopener noreferrer' class='column hideMarquee'&gt;&lt;div class='armyCardContainer card'&gt;&lt;div class='armyCard'&gt;&lt;div&gt;&lt;p class='marquee'&gt;",D88,"&lt;/p&gt;",IF(H88="Yes","&lt;img src='assets/CaCRequired.png' title='A CAC is required to use some or all features of this site!' Class='cacLocked'&gt;",""),IF(G88="Yes","&lt;img src='assets/DODlock.png' title='This Site requires a DoD network connection to be used!' Class='dodLocked'&gt;",""),"&lt;img src='assets/",#REF!,"' class='cardImage' loading='lazy'&gt;&lt;/div&gt;&lt;div class='title'&gt;&lt;span&gt;",A88,"&lt;/span&gt;&lt;/div&gt;&lt;/div&gt;&lt;/div&gt;&lt;/a&gt;&lt;/div&gt;&lt;script&gt;var js",F88," = document.getElementById('",F88,"').innerHTML;&lt;/script&gt;")</f>
        <v>0</v>
      </c>
      <c r="Q88" s="17" t="str">
        <f t="shared" si="2"/>
        <v xml:space="preserve">    &lt;details class='noSpacing'&gt;&lt;!-- VA health care - Dental - https://www.va.gov/health-care/about-va-health-benefits/dental-care --&gt;
      &lt;summary&gt;• &lt;a href='https://www.va.gov/health-care/about-va-health-benefits/dental-care' rel='noopener noreferrer'&gt;VA health care - Dental - https://www.va.gov/health-care/about-va-health-benefits/dental-care&lt;/a&gt;&lt;/summary&gt;
      &lt;p&gt;&lt;/p&gt;
    &lt;/details&gt;</v>
      </c>
      <c r="R88" s="17" t="e">
        <f>CONCATENATE("          &lt;!-- ",#REF!," - ",#REF!," --&gt;&lt;div id='drag",#REF!,"' class='catAll",IF(#REF!="X"," catArmySites",""),IF(A88="X"," catCombatReadiness",""),IF(B88="X"," catDod",""),IF(C88="X"," catFamily",""),IF(#REF!="X"," catFinance",""),IF(D88="X"," catHealth",""),IF(F88="X"," catHuman",""),IF(G88="X"," catLegal",""),IF(H88="X"," catProDev",""),IF(I88="X"," catTech",""),IF(J88="X"," catMilEd",""),IF(K88="X"," catCivEd",""),IF(M88="X","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8" s="17" t="e">
        <f>CONCATENATE("var js",#REF!," = document.getElementbyId('drag",#REF!,"').innerHTML; //  ",#REF!)</f>
        <v>#REF!</v>
      </c>
    </row>
    <row r="89" spans="1:19" x14ac:dyDescent="0.25">
      <c r="A89" s="19" t="s">
        <v>1230</v>
      </c>
      <c r="B89" s="19"/>
      <c r="C89" s="18" t="s">
        <v>1229</v>
      </c>
      <c r="E89" s="17" t="s">
        <v>639</v>
      </c>
      <c r="F89" s="17" t="s">
        <v>1228</v>
      </c>
      <c r="H89" s="17" t="s">
        <v>18</v>
      </c>
      <c r="I89" s="17" t="s">
        <v>480</v>
      </c>
      <c r="O89" s="17" t="str">
        <f>CONCATENATE("var js",Table13[[#This Row],[ID]]," = document.getElementbyId('",Table13[[#This Row],[ID]],"').innerHTML; //  ",Table13[[#This Row],[Site]])</f>
        <v>var jsTA088 = document.getElementbyId('TA088').innerHTML; //  VA help to avoid foreclosure</v>
      </c>
      <c r="P89" s="17">
        <f ca="1">CONCATENATE("        &lt;!--",A89," - ",C89," --&gt;&lt;div class='column catAll",IF(I89="X"," catArmySites",""),IF(J89="X"," catCombatReadiness",""),IF(K89="X"," catDod",""),IF(M89="X"," catFamily",""),IF(N89="X"," catFinance",""),IF(O89="X"," catHealth",""),IF(P89="X"," catHuman",""),IF(Q89="X"," catLegal",""),IF(R89="X"," catProDev",""),IF(S89="X"," catTech",""),IF(T89="X"," catMilEd",""),IF(U89="X"," catCivEd",""),IF(V89="X"," catUsGov",""),"' style='margin-bottom: 0px;' id='",F89,"'&gt;&lt;a href='",C89,"' rel='noopener noreferrer' class='column hideMarquee'&gt;&lt;div class='armyCardContainer card'&gt;&lt;div class='armyCard'&gt;&lt;div&gt;&lt;p class='marquee'&gt;",D89,"&lt;/p&gt;",IF(H89="Yes","&lt;img src='assets/CaCRequired.png' title='A CAC is required to use some or all features of this site!' Class='cacLocked'&gt;",""),IF(G89="Yes","&lt;img src='assets/DODlock.png' title='This Site requires a DoD network connection to be used!' Class='dodLocked'&gt;",""),"&lt;img src='assets/",#REF!,"' class='cardImage' loading='lazy'&gt;&lt;/div&gt;&lt;div class='title'&gt;&lt;span&gt;",A89,"&lt;/span&gt;&lt;/div&gt;&lt;/div&gt;&lt;/div&gt;&lt;/a&gt;&lt;/div&gt;&lt;script&gt;var js",F89," = document.getElementById('",F89,"').innerHTML;&lt;/script&gt;")</f>
        <v>0</v>
      </c>
      <c r="Q89" s="17" t="str">
        <f t="shared" si="2"/>
        <v xml:space="preserve">    &lt;details class='noSpacing'&gt;&lt;!-- VA help to avoid foreclosure - https://www.va.gov/housing-assistance/home-loans/trouble-making-payments --&gt;
      &lt;summary&gt;• &lt;a href='https://www.va.gov/housing-assistance/home-loans/trouble-making-payments' rel='noopener noreferrer'&gt;VA help to avoid foreclosure - https://www.va.gov/housing-assistance/home-loans/trouble-making-payments&lt;/a&gt;&lt;/summary&gt;
      &lt;p&gt;&lt;/p&gt;
    &lt;/details&gt;</v>
      </c>
      <c r="R89" s="17" t="e">
        <f>CONCATENATE("          &lt;!-- ",#REF!," - ",#REF!," --&gt;&lt;div id='drag",#REF!,"' class='catAll",IF(#REF!="X"," catArmySites",""),IF(A89="X"," catCombatReadiness",""),IF(B89="X"," catDod",""),IF(C89="X"," catFamily",""),IF(#REF!="X"," catFinance",""),IF(D89="X"," catHealth",""),IF(F89="X"," catHuman",""),IF(G89="X"," catLegal",""),IF(H89="X"," catProDev",""),IF(I89="X"," catTech",""),IF(J89="X"," catMilEd",""),IF(K89="X"," catCivEd",""),IF(M89="X","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89" s="17" t="e">
        <f>CONCATENATE("var js",#REF!," = document.getElementbyId('drag",#REF!,"').innerHTML; //  ",#REF!)</f>
        <v>#REF!</v>
      </c>
    </row>
    <row r="90" spans="1:19" x14ac:dyDescent="0.25">
      <c r="A90" s="20" t="s">
        <v>1227</v>
      </c>
      <c r="B90" s="19"/>
      <c r="C90" s="18" t="s">
        <v>1226</v>
      </c>
      <c r="E90" s="17" t="s">
        <v>639</v>
      </c>
      <c r="F90" s="17" t="s">
        <v>1225</v>
      </c>
      <c r="H90" s="17" t="s">
        <v>18</v>
      </c>
      <c r="I90" s="17" t="s">
        <v>480</v>
      </c>
      <c r="O90" s="17" t="str">
        <f>CONCATENATE("var js",Table13[[#This Row],[ID]]," = document.getElementbyId('",Table13[[#This Row],[ID]],"').innerHTML; //  ",Table13[[#This Row],[Site]])</f>
        <v>var jsTA089 = document.getElementbyId('TA089').innerHTML; //  VA Home Loans</v>
      </c>
      <c r="P90" s="17">
        <f ca="1">CONCATENATE("        &lt;!--",A90," - ",C90," --&gt;&lt;div class='column catAll",IF(I90="X"," catArmySites",""),IF(J90="X"," catCombatReadiness",""),IF(K90="X"," catDod",""),IF(M90="X"," catFamily",""),IF(N90="X"," catFinance",""),IF(O90="X"," catHealth",""),IF(P90="X"," catHuman",""),IF(Q90="X"," catLegal",""),IF(R90="X"," catProDev",""),IF(S90="X"," catTech",""),IF(T90="X"," catMilEd",""),IF(U90="X"," catCivEd",""),IF(V90="X"," catUsGov",""),"' style='margin-bottom: 0px;' id='",F90,"'&gt;&lt;a href='",C90,"' rel='noopener noreferrer' class='column hideMarquee'&gt;&lt;div class='armyCardContainer card'&gt;&lt;div class='armyCard'&gt;&lt;div&gt;&lt;p class='marquee'&gt;",D90,"&lt;/p&gt;",IF(H90="Yes","&lt;img src='assets/CaCRequired.png' title='A CAC is required to use some or all features of this site!' Class='cacLocked'&gt;",""),IF(G90="Yes","&lt;img src='assets/DODlock.png' title='This Site requires a DoD network connection to be used!' Class='dodLocked'&gt;",""),"&lt;img src='assets/",#REF!,"' class='cardImage' loading='lazy'&gt;&lt;/div&gt;&lt;div class='title'&gt;&lt;span&gt;",A90,"&lt;/span&gt;&lt;/div&gt;&lt;/div&gt;&lt;/div&gt;&lt;/a&gt;&lt;/div&gt;&lt;script&gt;var js",F90," = document.getElementById('",F90,"').innerHTML;&lt;/script&gt;")</f>
        <v>0</v>
      </c>
      <c r="Q90" s="17" t="str">
        <f t="shared" si="2"/>
        <v xml:space="preserve">    &lt;details class='noSpacing'&gt;&lt;!-- VA Home Loans - https://www.benefits.va.gov/HOMELOANS/index.asp --&gt;
      &lt;summary&gt;• &lt;a href='https://www.benefits.va.gov/HOMELOANS/index.asp' rel='noopener noreferrer'&gt;VA Home Loans - https://www.benefits.va.gov/HOMELOANS/index.asp&lt;/a&gt;&lt;/summary&gt;
      &lt;p&gt;&lt;/p&gt;
    &lt;/details&gt;</v>
      </c>
      <c r="R90" s="17" t="e">
        <f>CONCATENATE("          &lt;!-- ",#REF!," - ",#REF!," --&gt;&lt;div id='drag",#REF!,"' class='catAll",IF(#REF!="X"," catArmySites",""),IF(A90="X"," catCombatReadiness",""),IF(B90="X"," catDod",""),IF(C90="X"," catFamily",""),IF(#REF!="X"," catFinance",""),IF(D90="X"," catHealth",""),IF(F90="X"," catHuman",""),IF(G90="X"," catLegal",""),IF(H90="X"," catProDev",""),IF(I90="X"," catTech",""),IF(J90="X"," catMilEd",""),IF(K90="X"," catCivEd",""),IF(M90="X","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0" s="17" t="e">
        <f>CONCATENATE("var js",#REF!," = document.getElementbyId('drag",#REF!,"').innerHTML; //  ",#REF!)</f>
        <v>#REF!</v>
      </c>
    </row>
    <row r="91" spans="1:19" x14ac:dyDescent="0.25">
      <c r="A91" s="19" t="s">
        <v>1224</v>
      </c>
      <c r="B91" s="19"/>
      <c r="C91" s="18" t="s">
        <v>1223</v>
      </c>
      <c r="E91" s="17" t="s">
        <v>639</v>
      </c>
      <c r="F91" s="17" t="s">
        <v>1222</v>
      </c>
      <c r="H91" s="17" t="s">
        <v>18</v>
      </c>
      <c r="I91" s="17" t="s">
        <v>480</v>
      </c>
      <c r="O91" s="17" t="str">
        <f>CONCATENATE("var js",Table13[[#This Row],[ID]]," = document.getElementbyId('",Table13[[#This Row],[ID]],"').innerHTML; //  ",Table13[[#This Row],[Site]])</f>
        <v>var jsTA090 = document.getElementbyId('TA090').innerHTML; //  VA Homeless Programs</v>
      </c>
      <c r="P91" s="17">
        <f ca="1">CONCATENATE("        &lt;!--",A91," - ",C91," --&gt;&lt;div class='column catAll",IF(I91="X"," catArmySites",""),IF(J91="X"," catCombatReadiness",""),IF(K91="X"," catDod",""),IF(M91="X"," catFamily",""),IF(N91="X"," catFinance",""),IF(O91="X"," catHealth",""),IF(P91="X"," catHuman",""),IF(Q91="X"," catLegal",""),IF(R91="X"," catProDev",""),IF(S91="X"," catTech",""),IF(T91="X"," catMilEd",""),IF(U91="X"," catCivEd",""),IF(V91="X"," catUsGov",""),"' style='margin-bottom: 0px;' id='",F91,"'&gt;&lt;a href='",C91,"' rel='noopener noreferrer' class='column hideMarquee'&gt;&lt;div class='armyCardContainer card'&gt;&lt;div class='armyCard'&gt;&lt;div&gt;&lt;p class='marquee'&gt;",D91,"&lt;/p&gt;",IF(H91="Yes","&lt;img src='assets/CaCRequired.png' title='A CAC is required to use some or all features of this site!' Class='cacLocked'&gt;",""),IF(G91="Yes","&lt;img src='assets/DODlock.png' title='This Site requires a DoD network connection to be used!' Class='dodLocked'&gt;",""),"&lt;img src='assets/",#REF!,"' class='cardImage' loading='lazy'&gt;&lt;/div&gt;&lt;div class='title'&gt;&lt;span&gt;",A91,"&lt;/span&gt;&lt;/div&gt;&lt;/div&gt;&lt;/div&gt;&lt;/a&gt;&lt;/div&gt;&lt;script&gt;var js",F91," = document.getElementById('",F91,"').innerHTML;&lt;/script&gt;")</f>
        <v>0</v>
      </c>
      <c r="Q91" s="17" t="str">
        <f t="shared" si="2"/>
        <v xml:space="preserve">    &lt;details class='noSpacing'&gt;&lt;!-- VA Homeless Programs - https://www.va.gov/homeless --&gt;
      &lt;summary&gt;• &lt;a href='https://www.va.gov/homeless' rel='noopener noreferrer'&gt;VA Homeless Programs - https://www.va.gov/homeless&lt;/a&gt;&lt;/summary&gt;
      &lt;p&gt;&lt;/p&gt;
    &lt;/details&gt;</v>
      </c>
      <c r="R91" s="17" t="e">
        <f>CONCATENATE("          &lt;!-- ",#REF!," - ",#REF!," --&gt;&lt;div id='drag",#REF!,"' class='catAll",IF(#REF!="X"," catArmySites",""),IF(A91="X"," catCombatReadiness",""),IF(B91="X"," catDod",""),IF(C91="X"," catFamily",""),IF(#REF!="X"," catFinance",""),IF(D91="X"," catHealth",""),IF(F91="X"," catHuman",""),IF(G91="X"," catLegal",""),IF(H91="X"," catProDev",""),IF(I91="X"," catTech",""),IF(J91="X"," catMilEd",""),IF(K91="X"," catCivEd",""),IF(M91="X","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1" s="17" t="e">
        <f>CONCATENATE("var js",#REF!," = document.getElementbyId('drag",#REF!,"').innerHTML; //  ",#REF!)</f>
        <v>#REF!</v>
      </c>
    </row>
    <row r="92" spans="1:19" x14ac:dyDescent="0.25">
      <c r="A92" s="19" t="s">
        <v>1221</v>
      </c>
      <c r="B92" s="19"/>
      <c r="C92" s="18" t="s">
        <v>1220</v>
      </c>
      <c r="E92" s="17" t="s">
        <v>639</v>
      </c>
      <c r="F92" s="17" t="s">
        <v>1219</v>
      </c>
      <c r="H92" s="17" t="s">
        <v>18</v>
      </c>
      <c r="I92" s="17" t="s">
        <v>480</v>
      </c>
      <c r="N92" s="17" t="s">
        <v>480</v>
      </c>
      <c r="O92" s="17" t="str">
        <f>CONCATENATE("var js",Table13[[#This Row],[ID]]," = document.getElementbyId('",Table13[[#This Row],[ID]],"').innerHTML; //  ",Table13[[#This Row],[Site]])</f>
        <v>var jsTA091 = document.getElementbyId('TA091').innerHTML; //  VA housing assistance</v>
      </c>
      <c r="P92" s="17">
        <f ca="1">CONCATENATE("        &lt;!--",A92," - ",C92," --&gt;&lt;div class='column catAll",IF(I92="X"," catArmySites",""),IF(J92="X"," catCombatReadiness",""),IF(K92="X"," catDod",""),IF(M92="X"," catFamily",""),IF(N92="X"," catFinance",""),IF(O92="X"," catHealth",""),IF(P92="X"," catHuman",""),IF(Q92="X"," catLegal",""),IF(R92="X"," catProDev",""),IF(S92="X"," catTech",""),IF(T92="X"," catMilEd",""),IF(U92="X"," catCivEd",""),IF(V92="X"," catUsGov",""),"' style='margin-bottom: 0px;' id='",F92,"'&gt;&lt;a href='",C92,"' rel='noopener noreferrer' class='column hideMarquee'&gt;&lt;div class='armyCardContainer card'&gt;&lt;div class='armyCard'&gt;&lt;div&gt;&lt;p class='marquee'&gt;",D92,"&lt;/p&gt;",IF(H92="Yes","&lt;img src='assets/CaCRequired.png' title='A CAC is required to use some or all features of this site!' Class='cacLocked'&gt;",""),IF(G92="Yes","&lt;img src='assets/DODlock.png' title='This Site requires a DoD network connection to be used!' Class='dodLocked'&gt;",""),"&lt;img src='assets/",#REF!,"' class='cardImage' loading='lazy'&gt;&lt;/div&gt;&lt;div class='title'&gt;&lt;span&gt;",A92,"&lt;/span&gt;&lt;/div&gt;&lt;/div&gt;&lt;/div&gt;&lt;/a&gt;&lt;/div&gt;&lt;script&gt;var js",F92," = document.getElementById('",F92,"').innerHTML;&lt;/script&gt;")</f>
        <v>0</v>
      </c>
      <c r="Q92" s="17" t="str">
        <f t="shared" si="2"/>
        <v xml:space="preserve">    &lt;details class='noSpacing'&gt;&lt;!-- VA housing assistance - https://www.va.gov/housing-assistance --&gt;
      &lt;summary&gt;• &lt;a href='https://www.va.gov/housing-assistance' rel='noopener noreferrer'&gt;VA housing assistance - https://www.va.gov/housing-assistance&lt;/a&gt;&lt;/summary&gt;
      &lt;p&gt;&lt;/p&gt;
    &lt;/details&gt;</v>
      </c>
      <c r="R92" s="17" t="e">
        <f>CONCATENATE("          &lt;!-- ",#REF!," - ",#REF!," --&gt;&lt;div id='drag",#REF!,"' class='catAll",IF(#REF!="X"," catArmySites",""),IF(A92="X"," catCombatReadiness",""),IF(B92="X"," catDod",""),IF(C92="X"," catFamily",""),IF(#REF!="X"," catFinance",""),IF(D92="X"," catHealth",""),IF(F92="X"," catHuman",""),IF(G92="X"," catLegal",""),IF(H92="X"," catProDev",""),IF(I92="X"," catTech",""),IF(J92="X"," catMilEd",""),IF(K92="X"," catCivEd",""),IF(M92="X","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2" s="17" t="e">
        <f>CONCATENATE("var js",#REF!," = document.getElementbyId('drag",#REF!,"').innerHTML; //  ",#REF!)</f>
        <v>#REF!</v>
      </c>
    </row>
    <row r="93" spans="1:19" x14ac:dyDescent="0.25">
      <c r="A93" s="19" t="s">
        <v>1218</v>
      </c>
      <c r="B93" s="19"/>
      <c r="C93" s="18" t="s">
        <v>1217</v>
      </c>
      <c r="E93" s="17" t="s">
        <v>639</v>
      </c>
      <c r="F93" s="17" t="s">
        <v>1216</v>
      </c>
      <c r="I93" s="17" t="s">
        <v>480</v>
      </c>
      <c r="M93" s="17" t="s">
        <v>480</v>
      </c>
      <c r="N93" s="17" t="s">
        <v>480</v>
      </c>
      <c r="O93" s="17" t="str">
        <f>CONCATENATE("var js",Table13[[#This Row],[ID]]," = document.getElementbyId('",Table13[[#This Row],[ID]],"').innerHTML; //  ",Table13[[#This Row],[Site]])</f>
        <v>var jsTA092 = document.getElementbyId('TA092').innerHTML; //  VA life insurance</v>
      </c>
      <c r="P93" s="17">
        <f ca="1">CONCATENATE("        &lt;!--",A93," - ",C93," --&gt;&lt;div class='column catAll",IF(I93="X"," catArmySites",""),IF(J93="X"," catCombatReadiness",""),IF(K93="X"," catDod",""),IF(M93="X"," catFamily",""),IF(N93="X"," catFinance",""),IF(O93="X"," catHealth",""),IF(P93="X"," catHuman",""),IF(Q93="X"," catLegal",""),IF(R93="X"," catProDev",""),IF(S93="X"," catTech",""),IF(T93="X"," catMilEd",""),IF(U93="X"," catCivEd",""),IF(V93="X"," catUsGov",""),"' style='margin-bottom: 0px;' id='",F93,"'&gt;&lt;a href='",C93,"' rel='noopener noreferrer' class='column hideMarquee'&gt;&lt;div class='armyCardContainer card'&gt;&lt;div class='armyCard'&gt;&lt;div&gt;&lt;p class='marquee'&gt;",D93,"&lt;/p&gt;",IF(H93="Yes","&lt;img src='assets/CaCRequired.png' title='A CAC is required to use some or all features of this site!' Class='cacLocked'&gt;",""),IF(G93="Yes","&lt;img src='assets/DODlock.png' title='This Site requires a DoD network connection to be used!' Class='dodLocked'&gt;",""),"&lt;img src='assets/",#REF!,"' class='cardImage' loading='lazy'&gt;&lt;/div&gt;&lt;div class='title'&gt;&lt;span&gt;",A93,"&lt;/span&gt;&lt;/div&gt;&lt;/div&gt;&lt;/div&gt;&lt;/a&gt;&lt;/div&gt;&lt;script&gt;var js",F93," = document.getElementById('",F93,"').innerHTML;&lt;/script&gt;")</f>
        <v>0</v>
      </c>
      <c r="Q93" s="17" t="str">
        <f t="shared" si="2"/>
        <v xml:space="preserve">    &lt;details class='noSpacing'&gt;&lt;!-- VA life insurance - https://www.va.gov/life-insurance --&gt;
      &lt;summary&gt;• &lt;a href='https://www.va.gov/life-insurance' rel='noopener noreferrer'&gt;VA life insurance - https://www.va.gov/life-insurance&lt;/a&gt;&lt;/summary&gt;
      &lt;p&gt;&lt;/p&gt;
    &lt;/details&gt;</v>
      </c>
      <c r="R93" s="17" t="e">
        <f>CONCATENATE("          &lt;!-- ",#REF!," - ",#REF!," --&gt;&lt;div id='drag",#REF!,"' class='catAll",IF(#REF!="X"," catArmySites",""),IF(A93="X"," catCombatReadiness",""),IF(B93="X"," catDod",""),IF(C93="X"," catFamily",""),IF(#REF!="X"," catFinance",""),IF(D93="X"," catHealth",""),IF(F93="X"," catHuman",""),IF(G93="X"," catLegal",""),IF(H93="X"," catProDev",""),IF(I93="X"," catTech",""),IF(J93="X"," catMilEd",""),IF(K93="X"," catCivEd",""),IF(M93="X","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3" s="17" t="e">
        <f>CONCATENATE("var js",#REF!," = document.getElementbyId('drag",#REF!,"').innerHTML; //  ",#REF!)</f>
        <v>#REF!</v>
      </c>
    </row>
    <row r="94" spans="1:19" x14ac:dyDescent="0.25">
      <c r="A94" s="19" t="s">
        <v>1215</v>
      </c>
      <c r="B94" s="19"/>
      <c r="C94" s="18" t="s">
        <v>1214</v>
      </c>
      <c r="E94" s="17" t="s">
        <v>639</v>
      </c>
      <c r="F94" s="17" t="s">
        <v>1213</v>
      </c>
      <c r="G94" s="17" t="s">
        <v>480</v>
      </c>
      <c r="I94" s="17" t="s">
        <v>480</v>
      </c>
      <c r="O94" s="17" t="str">
        <f>CONCATENATE("var js",Table13[[#This Row],[ID]]," = document.getElementbyId('",Table13[[#This Row],[ID]],"').innerHTML; //  ",Table13[[#This Row],[Site]])</f>
        <v>var jsTA093 = document.getElementbyId('TA093').innerHTML; //  VA mental health services</v>
      </c>
      <c r="P94" s="17">
        <f ca="1">CONCATENATE("        &lt;!--",A94," - ",C94," --&gt;&lt;div class='column catAll",IF(I94="X"," catArmySites",""),IF(J94="X"," catCombatReadiness",""),IF(K94="X"," catDod",""),IF(M94="X"," catFamily",""),IF(N94="X"," catFinance",""),IF(O94="X"," catHealth",""),IF(P94="X"," catHuman",""),IF(Q94="X"," catLegal",""),IF(R94="X"," catProDev",""),IF(S94="X"," catTech",""),IF(T94="X"," catMilEd",""),IF(U94="X"," catCivEd",""),IF(V94="X"," catUsGov",""),"' style='margin-bottom: 0px;' id='",F94,"'&gt;&lt;a href='",C94,"' rel='noopener noreferrer' class='column hideMarquee'&gt;&lt;div class='armyCardContainer card'&gt;&lt;div class='armyCard'&gt;&lt;div&gt;&lt;p class='marquee'&gt;",D94,"&lt;/p&gt;",IF(H94="Yes","&lt;img src='assets/CaCRequired.png' title='A CAC is required to use some or all features of this site!' Class='cacLocked'&gt;",""),IF(G94="Yes","&lt;img src='assets/DODlock.png' title='This Site requires a DoD network connection to be used!' Class='dodLocked'&gt;",""),"&lt;img src='assets/",#REF!,"' class='cardImage' loading='lazy'&gt;&lt;/div&gt;&lt;div class='title'&gt;&lt;span&gt;",A94,"&lt;/span&gt;&lt;/div&gt;&lt;/div&gt;&lt;/div&gt;&lt;/a&gt;&lt;/div&gt;&lt;script&gt;var js",F94," = document.getElementById('",F94,"').innerHTML;&lt;/script&gt;")</f>
        <v>0</v>
      </c>
      <c r="Q94" s="17" t="str">
        <f t="shared" si="2"/>
        <v xml:space="preserve">    &lt;details class='noSpacing'&gt;&lt;!-- VA mental health services - https://www.va.gov/health-care/health-needs-conditions/mental-health --&gt;
      &lt;summary&gt;• &lt;a href='https://www.va.gov/health-care/health-needs-conditions/mental-health' rel='noopener noreferrer'&gt;VA mental health services - https://www.va.gov/health-care/health-needs-conditions/mental-health&lt;/a&gt;&lt;/summary&gt;
      &lt;p&gt;&lt;/p&gt;
    &lt;/details&gt;</v>
      </c>
      <c r="R94" s="17" t="e">
        <f>CONCATENATE("          &lt;!-- ",#REF!," - ",#REF!," --&gt;&lt;div id='drag",#REF!,"' class='catAll",IF(#REF!="X"," catArmySites",""),IF(A94="X"," catCombatReadiness",""),IF(B94="X"," catDod",""),IF(C94="X"," catFamily",""),IF(#REF!="X"," catFinance",""),IF(D94="X"," catHealth",""),IF(F94="X"," catHuman",""),IF(G94="X"," catLegal",""),IF(H94="X"," catProDev",""),IF(I94="X"," catTech",""),IF(J94="X"," catMilEd",""),IF(K94="X"," catCivEd",""),IF(M94="X","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4" s="17" t="e">
        <f>CONCATENATE("var js",#REF!," = document.getElementbyId('drag",#REF!,"').innerHTML; //  ",#REF!)</f>
        <v>#REF!</v>
      </c>
    </row>
    <row r="95" spans="1:19" x14ac:dyDescent="0.25">
      <c r="A95" s="19" t="s">
        <v>1212</v>
      </c>
      <c r="B95" s="19"/>
      <c r="C95" s="18" t="s">
        <v>1211</v>
      </c>
      <c r="E95" s="17" t="s">
        <v>639</v>
      </c>
      <c r="F95" s="17" t="s">
        <v>1210</v>
      </c>
      <c r="I95" s="17" t="s">
        <v>480</v>
      </c>
      <c r="K95" s="17" t="s">
        <v>480</v>
      </c>
      <c r="O95" s="17" t="str">
        <f>CONCATENATE("var js",Table13[[#This Row],[ID]]," = document.getElementbyId('",Table13[[#This Row],[ID]],"').innerHTML; //  ",Table13[[#This Row],[Site]])</f>
        <v>var jsTA094 = document.getElementbyId('TA094').innerHTML; //  VA On-the-job training and apprenticeships</v>
      </c>
      <c r="P95" s="17">
        <f ca="1">CONCATENATE("        &lt;!--",A95," - ",C95," --&gt;&lt;div class='column catAll",IF(I95="X"," catArmySites",""),IF(J95="X"," catCombatReadiness",""),IF(K95="X"," catDod",""),IF(M95="X"," catFamily",""),IF(N95="X"," catFinance",""),IF(O95="X"," catHealth",""),IF(P95="X"," catHuman",""),IF(Q95="X"," catLegal",""),IF(R95="X"," catProDev",""),IF(S95="X"," catTech",""),IF(T95="X"," catMilEd",""),IF(U95="X"," catCivEd",""),IF(V95="X"," catUsGov",""),"' style='margin-bottom: 0px;' id='",F95,"'&gt;&lt;a href='",C95,"' rel='noopener noreferrer' class='column hideMarquee'&gt;&lt;div class='armyCardContainer card'&gt;&lt;div class='armyCard'&gt;&lt;div&gt;&lt;p class='marquee'&gt;",D95,"&lt;/p&gt;",IF(H95="Yes","&lt;img src='assets/CaCRequired.png' title='A CAC is required to use some or all features of this site!' Class='cacLocked'&gt;",""),IF(G95="Yes","&lt;img src='assets/DODlock.png' title='This Site requires a DoD network connection to be used!' Class='dodLocked'&gt;",""),"&lt;img src='assets/",#REF!,"' class='cardImage' loading='lazy'&gt;&lt;/div&gt;&lt;div class='title'&gt;&lt;span&gt;",A95,"&lt;/span&gt;&lt;/div&gt;&lt;/div&gt;&lt;/div&gt;&lt;/a&gt;&lt;/div&gt;&lt;script&gt;var js",F95," = document.getElementById('",F95,"').innerHTML;&lt;/script&gt;")</f>
        <v>0</v>
      </c>
      <c r="Q95" s="17" t="str">
        <f t="shared" si="2"/>
        <v xml:space="preserve">    &lt;details class='noSpacing'&gt;&lt;!-- VA On-the-job training and apprenticeships - https://www.va.gov/education/about-gi-bill-benefits/how-to-use-benefits/on-the-job-training-apprenticeships --&gt;
      &lt;summary&gt;• &lt;a href='https://www.va.gov/education/about-gi-bill-benefits/how-to-use-benefits/on-the-job-training-apprenticeships' rel='noopener noreferrer'&gt;VA On-the-job training and apprenticeships - https://www.va.gov/education/about-gi-bill-benefits/how-to-use-benefits/on-the-job-training-apprenticeships&lt;/a&gt;&lt;/summary&gt;
      &lt;p&gt;&lt;/p&gt;
    &lt;/details&gt;</v>
      </c>
      <c r="R95" s="17" t="e">
        <f>CONCATENATE("          &lt;!-- ",#REF!," - ",#REF!," --&gt;&lt;div id='drag",#REF!,"' class='catAll",IF(#REF!="X"," catArmySites",""),IF(A95="X"," catCombatReadiness",""),IF(B95="X"," catDod",""),IF(C95="X"," catFamily",""),IF(#REF!="X"," catFinance",""),IF(D95="X"," catHealth",""),IF(F95="X"," catHuman",""),IF(G95="X"," catLegal",""),IF(H95="X"," catProDev",""),IF(I95="X"," catTech",""),IF(J95="X"," catMilEd",""),IF(K95="X"," catCivEd",""),IF(M95="X","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5" s="17" t="e">
        <f>CONCATENATE("var js",#REF!," = document.getElementbyId('drag",#REF!,"').innerHTML; //  ",#REF!)</f>
        <v>#REF!</v>
      </c>
    </row>
    <row r="96" spans="1:19" x14ac:dyDescent="0.25">
      <c r="A96" s="19" t="s">
        <v>1209</v>
      </c>
      <c r="B96" s="19"/>
      <c r="C96" s="18" t="s">
        <v>1208</v>
      </c>
      <c r="E96" s="17" t="s">
        <v>639</v>
      </c>
      <c r="F96" s="17" t="s">
        <v>1207</v>
      </c>
      <c r="I96" s="17" t="s">
        <v>480</v>
      </c>
      <c r="N96" s="17" t="s">
        <v>480</v>
      </c>
      <c r="O96" s="17" t="str">
        <f>CONCATENATE("var js",Table13[[#This Row],[ID]]," = document.getElementbyId('",Table13[[#This Row],[ID]],"').innerHTML; //  ",Table13[[#This Row],[Site]])</f>
        <v>var jsTA095 = document.getElementbyId('TA095').innerHTML; //  VA pension benefits</v>
      </c>
      <c r="P96" s="17">
        <f ca="1">CONCATENATE("        &lt;!--",A96," - ",C96," --&gt;&lt;div class='column catAll",IF(I96="X"," catArmySites",""),IF(J96="X"," catCombatReadiness",""),IF(K96="X"," catDod",""),IF(M96="X"," catFamily",""),IF(N96="X"," catFinance",""),IF(O96="X"," catHealth",""),IF(P96="X"," catHuman",""),IF(Q96="X"," catLegal",""),IF(R96="X"," catProDev",""),IF(S96="X"," catTech",""),IF(T96="X"," catMilEd",""),IF(U96="X"," catCivEd",""),IF(V96="X"," catUsGov",""),"' style='margin-bottom: 0px;' id='",F96,"'&gt;&lt;a href='",C96,"' rel='noopener noreferrer' class='column hideMarquee'&gt;&lt;div class='armyCardContainer card'&gt;&lt;div class='armyCard'&gt;&lt;div&gt;&lt;p class='marquee'&gt;",D96,"&lt;/p&gt;",IF(H96="Yes","&lt;img src='assets/CaCRequired.png' title='A CAC is required to use some or all features of this site!' Class='cacLocked'&gt;",""),IF(G96="Yes","&lt;img src='assets/DODlock.png' title='This Site requires a DoD network connection to be used!' Class='dodLocked'&gt;",""),"&lt;img src='assets/",#REF!,"' class='cardImage' loading='lazy'&gt;&lt;/div&gt;&lt;div class='title'&gt;&lt;span&gt;",A96,"&lt;/span&gt;&lt;/div&gt;&lt;/div&gt;&lt;/div&gt;&lt;/a&gt;&lt;/div&gt;&lt;script&gt;var js",F96," = document.getElementById('",F96,"').innerHTML;&lt;/script&gt;")</f>
        <v>0</v>
      </c>
      <c r="Q96" s="17" t="str">
        <f t="shared" si="2"/>
        <v xml:space="preserve">    &lt;details class='noSpacing'&gt;&lt;!-- VA pension benefits - https://www.va.gov/pension --&gt;
      &lt;summary&gt;• &lt;a href='https://www.va.gov/pension' rel='noopener noreferrer'&gt;VA pension benefits - https://www.va.gov/pension&lt;/a&gt;&lt;/summary&gt;
      &lt;p&gt;&lt;/p&gt;
    &lt;/details&gt;</v>
      </c>
      <c r="R96" s="17" t="e">
        <f>CONCATENATE("          &lt;!-- ",#REF!," - ",#REF!," --&gt;&lt;div id='drag",#REF!,"' class='catAll",IF(#REF!="X"," catArmySites",""),IF(A96="X"," catCombatReadiness",""),IF(B96="X"," catDod",""),IF(C96="X"," catFamily",""),IF(#REF!="X"," catFinance",""),IF(D96="X"," catHealth",""),IF(F96="X"," catHuman",""),IF(G96="X"," catLegal",""),IF(H96="X"," catProDev",""),IF(I96="X"," catTech",""),IF(J96="X"," catMilEd",""),IF(K96="X"," catCivEd",""),IF(M96="X","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6" s="17" t="e">
        <f>CONCATENATE("var js",#REF!," = document.getElementbyId('drag",#REF!,"').innerHTML; //  ",#REF!)</f>
        <v>#REF!</v>
      </c>
    </row>
    <row r="97" spans="1:19" x14ac:dyDescent="0.25">
      <c r="A97" s="19" t="s">
        <v>1206</v>
      </c>
      <c r="B97" s="19"/>
      <c r="C97" s="18" t="s">
        <v>1205</v>
      </c>
      <c r="E97" s="17" t="s">
        <v>639</v>
      </c>
      <c r="F97" s="17" t="s">
        <v>1204</v>
      </c>
      <c r="G97" s="17" t="s">
        <v>480</v>
      </c>
      <c r="I97" s="17" t="s">
        <v>480</v>
      </c>
      <c r="O97" s="17" t="str">
        <f>CONCATENATE("var js",Table13[[#This Row],[ID]]," = document.getElementbyId('",Table13[[#This Row],[ID]],"').innerHTML; //  ",Table13[[#This Row],[Site]])</f>
        <v xml:space="preserve">var jsTA096 = document.getElementbyId('TA096').innerHTML; //  VA primary care provider </v>
      </c>
      <c r="P97" s="17">
        <f ca="1">CONCATENATE("        &lt;!--",A97," - ",C97," --&gt;&lt;div class='column catAll",IF(I97="X"," catArmySites",""),IF(J97="X"," catCombatReadiness",""),IF(K97="X"," catDod",""),IF(M97="X"," catFamily",""),IF(N97="X"," catFinance",""),IF(O97="X"," catHealth",""),IF(P97="X"," catHuman",""),IF(Q97="X"," catLegal",""),IF(R97="X"," catProDev",""),IF(S97="X"," catTech",""),IF(T97="X"," catMilEd",""),IF(U97="X"," catCivEd",""),IF(V97="X"," catUsGov",""),"' style='margin-bottom: 0px;' id='",F97,"'&gt;&lt;a href='",C97,"' rel='noopener noreferrer' class='column hideMarquee'&gt;&lt;div class='armyCardContainer card'&gt;&lt;div class='armyCard'&gt;&lt;div&gt;&lt;p class='marquee'&gt;",D97,"&lt;/p&gt;",IF(H97="Yes","&lt;img src='assets/CaCRequired.png' title='A CAC is required to use some or all features of this site!' Class='cacLocked'&gt;",""),IF(G97="Yes","&lt;img src='assets/DODlock.png' title='This Site requires a DoD network connection to be used!' Class='dodLocked'&gt;",""),"&lt;img src='assets/",#REF!,"' class='cardImage' loading='lazy'&gt;&lt;/div&gt;&lt;div class='title'&gt;&lt;span&gt;",A97,"&lt;/span&gt;&lt;/div&gt;&lt;/div&gt;&lt;/div&gt;&lt;/a&gt;&lt;/div&gt;&lt;script&gt;var js",F97," = document.getElementById('",F97,"').innerHTML;&lt;/script&gt;")</f>
        <v>0</v>
      </c>
      <c r="Q97" s="17" t="str">
        <f t="shared" si="2"/>
        <v xml:space="preserve">    &lt;details class='noSpacing'&gt;&lt;!-- VA primary care provider  - https://www.va.gov/health-care/about-va-health-benefits/your-care-team --&gt;
      &lt;summary&gt;• &lt;a href='https://www.va.gov/health-care/about-va-health-benefits/your-care-team' rel='noopener noreferrer'&gt;VA primary care provider  - https://www.va.gov/health-care/about-va-health-benefits/your-care-team&lt;/a&gt;&lt;/summary&gt;
      &lt;p&gt;&lt;/p&gt;
    &lt;/details&gt;</v>
      </c>
      <c r="R97" s="17" t="e">
        <f>CONCATENATE("          &lt;!-- ",#REF!," - ",#REF!," --&gt;&lt;div id='drag",#REF!,"' class='catAll",IF(#REF!="X"," catArmySites",""),IF(A97="X"," catCombatReadiness",""),IF(B97="X"," catDod",""),IF(C97="X"," catFamily",""),IF(#REF!="X"," catFinance",""),IF(D97="X"," catHealth",""),IF(F97="X"," catHuman",""),IF(G97="X"," catLegal",""),IF(H97="X"," catProDev",""),IF(I97="X"," catTech",""),IF(J97="X"," catMilEd",""),IF(K97="X"," catCivEd",""),IF(M97="X","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7" s="17" t="e">
        <f>CONCATENATE("var js",#REF!," = document.getElementbyId('drag",#REF!,"').innerHTML; //  ",#REF!)</f>
        <v>#REF!</v>
      </c>
    </row>
    <row r="98" spans="1:19" x14ac:dyDescent="0.25">
      <c r="A98" s="19" t="s">
        <v>1203</v>
      </c>
      <c r="B98" s="19"/>
      <c r="C98" s="18" t="s">
        <v>1202</v>
      </c>
      <c r="E98" s="17" t="s">
        <v>639</v>
      </c>
      <c r="F98" s="17" t="s">
        <v>1201</v>
      </c>
      <c r="I98" s="17" t="s">
        <v>480</v>
      </c>
      <c r="O98" s="17" t="str">
        <f>CONCATENATE("var js",Table13[[#This Row],[ID]]," = document.getElementbyId('",Table13[[#This Row],[ID]],"').innerHTML; //  ",Table13[[#This Row],[Site]])</f>
        <v>var jsTA097 = document.getElementbyId('TA097').innerHTML; //  VA Social Work</v>
      </c>
      <c r="P98" s="17">
        <f ca="1">CONCATENATE("        &lt;!--",A98," - ",C98," --&gt;&lt;div class='column catAll",IF(I98="X"," catArmySites",""),IF(J98="X"," catCombatReadiness",""),IF(K98="X"," catDod",""),IF(M98="X"," catFamily",""),IF(N98="X"," catFinance",""),IF(O98="X"," catHealth",""),IF(P98="X"," catHuman",""),IF(Q98="X"," catLegal",""),IF(R98="X"," catProDev",""),IF(S98="X"," catTech",""),IF(T98="X"," catMilEd",""),IF(U98="X"," catCivEd",""),IF(V98="X"," catUsGov",""),"' style='margin-bottom: 0px;' id='",F98,"'&gt;&lt;a href='",C98,"' rel='noopener noreferrer' class='column hideMarquee'&gt;&lt;div class='armyCardContainer card'&gt;&lt;div class='armyCard'&gt;&lt;div&gt;&lt;p class='marquee'&gt;",D98,"&lt;/p&gt;",IF(H98="Yes","&lt;img src='assets/CaCRequired.png' title='A CAC is required to use some or all features of this site!' Class='cacLocked'&gt;",""),IF(G98="Yes","&lt;img src='assets/DODlock.png' title='This Site requires a DoD network connection to be used!' Class='dodLocked'&gt;",""),"&lt;img src='assets/",#REF!,"' class='cardImage' loading='lazy'&gt;&lt;/div&gt;&lt;div class='title'&gt;&lt;span&gt;",A98,"&lt;/span&gt;&lt;/div&gt;&lt;/div&gt;&lt;/div&gt;&lt;/a&gt;&lt;/div&gt;&lt;script&gt;var js",F98," = document.getElementById('",F98,"').innerHTML;&lt;/script&gt;")</f>
        <v>0</v>
      </c>
      <c r="Q98" s="17" t="str">
        <f t="shared" ref="Q98:Q129" si="3">CONCATENATE("    &lt;details class='noSpacing'&gt;&lt;!-- ",A98," - ",C98," --&gt;
      &lt;summary&gt;• &lt;a href='",C98,"' rel='noopener noreferrer'&gt;",A98," - ",C98,"&lt;/a&gt;&lt;/summary&gt;
      &lt;p&gt;",D98,"&lt;/p&gt;
    &lt;/details&gt;")</f>
        <v xml:space="preserve">    &lt;details class='noSpacing'&gt;&lt;!-- VA Social Work - https://www.socialwork.va.gov --&gt;
      &lt;summary&gt;• &lt;a href='https://www.socialwork.va.gov' rel='noopener noreferrer'&gt;VA Social Work - https://www.socialwork.va.gov&lt;/a&gt;&lt;/summary&gt;
      &lt;p&gt;&lt;/p&gt;
    &lt;/details&gt;</v>
      </c>
      <c r="R98" s="17" t="e">
        <f>CONCATENATE("          &lt;!-- ",#REF!," - ",#REF!," --&gt;&lt;div id='drag",#REF!,"' class='catAll",IF(#REF!="X"," catArmySites",""),IF(A98="X"," catCombatReadiness",""),IF(B98="X"," catDod",""),IF(C98="X"," catFamily",""),IF(#REF!="X"," catFinance",""),IF(D98="X"," catHealth",""),IF(F98="X"," catHuman",""),IF(G98="X"," catLegal",""),IF(H98="X"," catProDev",""),IF(I98="X"," catTech",""),IF(J98="X"," catMilEd",""),IF(K98="X"," catCivEd",""),IF(M98="X","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8" s="17" t="e">
        <f>CONCATENATE("var js",#REF!," = document.getElementbyId('drag",#REF!,"').innerHTML; //  ",#REF!)</f>
        <v>#REF!</v>
      </c>
    </row>
    <row r="99" spans="1:19" x14ac:dyDescent="0.25">
      <c r="A99" s="19" t="s">
        <v>1200</v>
      </c>
      <c r="B99" s="19"/>
      <c r="C99" s="18" t="s">
        <v>1199</v>
      </c>
      <c r="E99" s="17" t="s">
        <v>639</v>
      </c>
      <c r="F99" s="17" t="s">
        <v>1198</v>
      </c>
      <c r="I99" s="17" t="s">
        <v>480</v>
      </c>
      <c r="M99" s="17" t="s">
        <v>480</v>
      </c>
      <c r="O99" s="17" t="str">
        <f>CONCATENATE("var js",Table13[[#This Row],[ID]]," = document.getElementbyId('",Table13[[#This Row],[ID]],"').innerHTML; //  ",Table13[[#This Row],[Site]])</f>
        <v>var jsTA098 = document.getElementbyId('TA098').innerHTML; //  VA Survivors Pension</v>
      </c>
      <c r="P99" s="17">
        <f ca="1">CONCATENATE("        &lt;!--",A99," - ",C99," --&gt;&lt;div class='column catAll",IF(I99="X"," catArmySites",""),IF(J99="X"," catCombatReadiness",""),IF(K99="X"," catDod",""),IF(M99="X"," catFamily",""),IF(N99="X"," catFinance",""),IF(O99="X"," catHealth",""),IF(P99="X"," catHuman",""),IF(Q99="X"," catLegal",""),IF(R99="X"," catProDev",""),IF(S99="X"," catTech",""),IF(T99="X"," catMilEd",""),IF(U99="X"," catCivEd",""),IF(V99="X"," catUsGov",""),"' style='margin-bottom: 0px;' id='",F99,"'&gt;&lt;a href='",C99,"' rel='noopener noreferrer' class='column hideMarquee'&gt;&lt;div class='armyCardContainer card'&gt;&lt;div class='armyCard'&gt;&lt;div&gt;&lt;p class='marquee'&gt;",D99,"&lt;/p&gt;",IF(H99="Yes","&lt;img src='assets/CaCRequired.png' title='A CAC is required to use some or all features of this site!' Class='cacLocked'&gt;",""),IF(G99="Yes","&lt;img src='assets/DODlock.png' title='This Site requires a DoD network connection to be used!' Class='dodLocked'&gt;",""),"&lt;img src='assets/",#REF!,"' class='cardImage' loading='lazy'&gt;&lt;/div&gt;&lt;div class='title'&gt;&lt;span&gt;",A99,"&lt;/span&gt;&lt;/div&gt;&lt;/div&gt;&lt;/div&gt;&lt;/a&gt;&lt;/div&gt;&lt;script&gt;var js",F99," = document.getElementById('",F99,"').innerHTML;&lt;/script&gt;")</f>
        <v>0</v>
      </c>
      <c r="Q99" s="17" t="str">
        <f t="shared" si="3"/>
        <v xml:space="preserve">    &lt;details class='noSpacing'&gt;&lt;!-- VA Survivors Pension - https://www.va.gov/pension/survivors-pension --&gt;
      &lt;summary&gt;• &lt;a href='https://www.va.gov/pension/survivors-pension' rel='noopener noreferrer'&gt;VA Survivors Pension - https://www.va.gov/pension/survivors-pension&lt;/a&gt;&lt;/summary&gt;
      &lt;p&gt;&lt;/p&gt;
    &lt;/details&gt;</v>
      </c>
      <c r="R99" s="17" t="e">
        <f>CONCATENATE("          &lt;!-- ",#REF!," - ",#REF!," --&gt;&lt;div id='drag",#REF!,"' class='catAll",IF(#REF!="X"," catArmySites",""),IF(A99="X"," catCombatReadiness",""),IF(B99="X"," catDod",""),IF(C99="X"," catFamily",""),IF(#REF!="X"," catFinance",""),IF(D99="X"," catHealth",""),IF(F99="X"," catHuman",""),IF(G99="X"," catLegal",""),IF(H99="X"," catProDev",""),IF(I99="X"," catTech",""),IF(J99="X"," catMilEd",""),IF(K99="X"," catCivEd",""),IF(M99="X","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99" s="17" t="e">
        <f>CONCATENATE("var js",#REF!," = document.getElementbyId('drag",#REF!,"').innerHTML; //  ",#REF!)</f>
        <v>#REF!</v>
      </c>
    </row>
    <row r="100" spans="1:19" x14ac:dyDescent="0.25">
      <c r="A100" s="19" t="s">
        <v>1197</v>
      </c>
      <c r="B100" s="19"/>
      <c r="C100" s="18" t="s">
        <v>1196</v>
      </c>
      <c r="E100" s="17" t="s">
        <v>639</v>
      </c>
      <c r="F100" s="17" t="s">
        <v>1195</v>
      </c>
      <c r="I100" s="17" t="s">
        <v>480</v>
      </c>
      <c r="K100" s="17" t="s">
        <v>480</v>
      </c>
      <c r="O100" s="17" t="str">
        <f>CONCATENATE("var js",Table13[[#This Row],[ID]]," = document.getElementbyId('",Table13[[#This Row],[ID]],"').innerHTML; //  ",Table13[[#This Row],[Site]])</f>
        <v>var jsTA099 = document.getElementbyId('TA099').innerHTML; //  VA Transfer your Post-9/11 GI Bill benefits</v>
      </c>
      <c r="P100" s="17">
        <f ca="1">CONCATENATE("        &lt;!--",A100," - ",C100," --&gt;&lt;div class='column catAll",IF(I100="X"," catArmySites",""),IF(J100="X"," catCombatReadiness",""),IF(K100="X"," catDod",""),IF(M100="X"," catFamily",""),IF(N100="X"," catFinance",""),IF(O100="X"," catHealth",""),IF(P100="X"," catHuman",""),IF(Q100="X"," catLegal",""),IF(R100="X"," catProDev",""),IF(S100="X"," catTech",""),IF(T100="X"," catMilEd",""),IF(U100="X"," catCivEd",""),IF(V100="X"," catUsGov",""),"' style='margin-bottom: 0px;' id='",F100,"'&gt;&lt;a href='",C100,"' rel='noopener noreferrer' class='column hideMarquee'&gt;&lt;div class='armyCardContainer card'&gt;&lt;div class='armyCard'&gt;&lt;div&gt;&lt;p class='marquee'&gt;",D100,"&lt;/p&gt;",IF(H100="Yes","&lt;img src='assets/CaCRequired.png' title='A CAC is required to use some or all features of this site!' Class='cacLocked'&gt;",""),IF(G100="Yes","&lt;img src='assets/DODlock.png' title='This Site requires a DoD network connection to be used!' Class='dodLocked'&gt;",""),"&lt;img src='assets/",#REF!,"' class='cardImage' loading='lazy'&gt;&lt;/div&gt;&lt;div class='title'&gt;&lt;span&gt;",A100,"&lt;/span&gt;&lt;/div&gt;&lt;/div&gt;&lt;/div&gt;&lt;/a&gt;&lt;/div&gt;&lt;script&gt;var js",F100," = document.getElementById('",F100,"').innerHTML;&lt;/script&gt;")</f>
        <v>0</v>
      </c>
      <c r="Q100" s="17" t="str">
        <f t="shared" si="3"/>
        <v xml:space="preserve">    &lt;details class='noSpacing'&gt;&lt;!-- VA Transfer your Post-9/11 GI Bill benefits - https://www.va.gov/education/transfer-post-9-11-gi-bill-benefits --&gt;
      &lt;summary&gt;• &lt;a href='https://www.va.gov/education/transfer-post-9-11-gi-bill-benefits' rel='noopener noreferrer'&gt;VA Transfer your Post-9/11 GI Bill benefits - https://www.va.gov/education/transfer-post-9-11-gi-bill-benefits&lt;/a&gt;&lt;/summary&gt;
      &lt;p&gt;&lt;/p&gt;
    &lt;/details&gt;</v>
      </c>
      <c r="R100" s="17" t="e">
        <f>CONCATENATE("          &lt;!-- ",#REF!," - ",#REF!," --&gt;&lt;div id='drag",#REF!,"' class='catAll",IF(#REF!="X"," catArmySites",""),IF(A100="X"," catCombatReadiness",""),IF(B100="X"," catDod",""),IF(C100="X"," catFamily",""),IF(#REF!="X"," catFinance",""),IF(D100="X"," catHealth",""),IF(F100="X"," catHuman",""),IF(G100="X"," catLegal",""),IF(H100="X"," catProDev",""),IF(I100="X"," catTech",""),IF(J100="X"," catMilEd",""),IF(K100="X"," catCivEd",""),IF(M100="X","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0" s="17" t="e">
        <f>CONCATENATE("var js",#REF!," = document.getElementbyId('drag",#REF!,"').innerHTML; //  ",#REF!)</f>
        <v>#REF!</v>
      </c>
    </row>
    <row r="101" spans="1:19" x14ac:dyDescent="0.25">
      <c r="A101" s="19" t="s">
        <v>1194</v>
      </c>
      <c r="B101" s="19"/>
      <c r="C101" s="18" t="s">
        <v>1193</v>
      </c>
      <c r="E101" s="17" t="s">
        <v>639</v>
      </c>
      <c r="F101" s="17" t="s">
        <v>1192</v>
      </c>
      <c r="I101" s="17" t="s">
        <v>480</v>
      </c>
      <c r="K101" s="17" t="s">
        <v>480</v>
      </c>
      <c r="O101" s="17" t="str">
        <f>CONCATENATE("var js",Table13[[#This Row],[ID]]," = document.getElementbyId('",Table13[[#This Row],[ID]],"').innerHTML; //  ",Table13[[#This Row],[Site]])</f>
        <v>var jsTA100 = document.getElementbyId('TA100').innerHTML; //  VA Tutorial assistance</v>
      </c>
      <c r="P101" s="17">
        <f ca="1">CONCATENATE("        &lt;!--",A101," - ",C101," --&gt;&lt;div class='column catAll",IF(I101="X"," catArmySites",""),IF(J101="X"," catCombatReadiness",""),IF(K101="X"," catDod",""),IF(M101="X"," catFamily",""),IF(N101="X"," catFinance",""),IF(O101="X"," catHealth",""),IF(P101="X"," catHuman",""),IF(Q101="X"," catLegal",""),IF(R101="X"," catProDev",""),IF(S101="X"," catTech",""),IF(T101="X"," catMilEd",""),IF(U101="X"," catCivEd",""),IF(V101="X"," catUsGov",""),"' style='margin-bottom: 0px;' id='",F101,"'&gt;&lt;a href='",C101,"' rel='noopener noreferrer' class='column hideMarquee'&gt;&lt;div class='armyCardContainer card'&gt;&lt;div class='armyCard'&gt;&lt;div&gt;&lt;p class='marquee'&gt;",D101,"&lt;/p&gt;",IF(H101="Yes","&lt;img src='assets/CaCRequired.png' title='A CAC is required to use some or all features of this site!' Class='cacLocked'&gt;",""),IF(G101="Yes","&lt;img src='assets/DODlock.png' title='This Site requires a DoD network connection to be used!' Class='dodLocked'&gt;",""),"&lt;img src='assets/",#REF!,"' class='cardImage' loading='lazy'&gt;&lt;/div&gt;&lt;div class='title'&gt;&lt;span&gt;",A101,"&lt;/span&gt;&lt;/div&gt;&lt;/div&gt;&lt;/div&gt;&lt;/a&gt;&lt;/div&gt;&lt;script&gt;var js",F101," = document.getElementById('",F101,"').innerHTML;&lt;/script&gt;")</f>
        <v>0</v>
      </c>
      <c r="Q101" s="17" t="str">
        <f t="shared" si="3"/>
        <v xml:space="preserve">    &lt;details class='noSpacing'&gt;&lt;!-- VA Tutorial assistance - https://www.va.gov/education/about-gi-bill-benefits/how-to-use-benefits/tutor-assistance --&gt;
      &lt;summary&gt;• &lt;a href='https://www.va.gov/education/about-gi-bill-benefits/how-to-use-benefits/tutor-assistance' rel='noopener noreferrer'&gt;VA Tutorial assistance - https://www.va.gov/education/about-gi-bill-benefits/how-to-use-benefits/tutor-assistance&lt;/a&gt;&lt;/summary&gt;
      &lt;p&gt;&lt;/p&gt;
    &lt;/details&gt;</v>
      </c>
      <c r="R101" s="17" t="e">
        <f>CONCATENATE("          &lt;!-- ",#REF!," - ",#REF!," --&gt;&lt;div id='drag",#REF!,"' class='catAll",IF(#REF!="X"," catArmySites",""),IF(A101="X"," catCombatReadiness",""),IF(B101="X"," catDod",""),IF(C101="X"," catFamily",""),IF(#REF!="X"," catFinance",""),IF(D101="X"," catHealth",""),IF(F101="X"," catHuman",""),IF(G101="X"," catLegal",""),IF(H101="X"," catProDev",""),IF(I101="X"," catTech",""),IF(J101="X"," catMilEd",""),IF(K101="X"," catCivEd",""),IF(M101="X","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1" s="17" t="e">
        <f>CONCATENATE("var js",#REF!," = document.getElementbyId('drag",#REF!,"').innerHTML; //  ",#REF!)</f>
        <v>#REF!</v>
      </c>
    </row>
    <row r="102" spans="1:19" x14ac:dyDescent="0.25">
      <c r="A102" s="19" t="s">
        <v>1191</v>
      </c>
      <c r="B102" s="19"/>
      <c r="C102" s="18" t="s">
        <v>1190</v>
      </c>
      <c r="E102" s="17" t="s">
        <v>639</v>
      </c>
      <c r="F102" s="17" t="s">
        <v>1189</v>
      </c>
      <c r="I102" s="17" t="s">
        <v>480</v>
      </c>
      <c r="K102" s="17" t="s">
        <v>480</v>
      </c>
      <c r="O102" s="17" t="str">
        <f>CONCATENATE("var js",Table13[[#This Row],[ID]]," = document.getElementbyId('",Table13[[#This Row],[ID]],"').innerHTML; //  ",Table13[[#This Row],[Site]])</f>
        <v>var jsTA101 = document.getElementbyId('TA101').innerHTML; //  VA Veteran Readiness and Employment</v>
      </c>
      <c r="P102" s="17">
        <f ca="1">CONCATENATE("        &lt;!--",A102," - ",C102," --&gt;&lt;div class='column catAll",IF(I102="X"," catArmySites",""),IF(J102="X"," catCombatReadiness",""),IF(K102="X"," catDod",""),IF(M102="X"," catFamily",""),IF(N102="X"," catFinance",""),IF(O102="X"," catHealth",""),IF(P102="X"," catHuman",""),IF(Q102="X"," catLegal",""),IF(R102="X"," catProDev",""),IF(S102="X"," catTech",""),IF(T102="X"," catMilEd",""),IF(U102="X"," catCivEd",""),IF(V102="X"," catUsGov",""),"' style='margin-bottom: 0px;' id='",F102,"'&gt;&lt;a href='",C102,"' rel='noopener noreferrer' class='column hideMarquee'&gt;&lt;div class='armyCardContainer card'&gt;&lt;div class='armyCard'&gt;&lt;div&gt;&lt;p class='marquee'&gt;",D102,"&lt;/p&gt;",IF(H102="Yes","&lt;img src='assets/CaCRequired.png' title='A CAC is required to use some or all features of this site!' Class='cacLocked'&gt;",""),IF(G102="Yes","&lt;img src='assets/DODlock.png' title='This Site requires a DoD network connection to be used!' Class='dodLocked'&gt;",""),"&lt;img src='assets/",#REF!,"' class='cardImage' loading='lazy'&gt;&lt;/div&gt;&lt;div class='title'&gt;&lt;span&gt;",A102,"&lt;/span&gt;&lt;/div&gt;&lt;/div&gt;&lt;/div&gt;&lt;/a&gt;&lt;/div&gt;&lt;script&gt;var js",F102," = document.getElementById('",F102,"').innerHTML;&lt;/script&gt;")</f>
        <v>0</v>
      </c>
      <c r="Q102" s="17" t="str">
        <f t="shared" si="3"/>
        <v xml:space="preserve">    &lt;details class='noSpacing'&gt;&lt;!-- VA Veteran Readiness and Employment - https://www.va.gov/careers-employment/vocational-rehabilitation --&gt;
      &lt;summary&gt;• &lt;a href='https://www.va.gov/careers-employment/vocational-rehabilitation' rel='noopener noreferrer'&gt;VA Veteran Readiness and Employment - https://www.va.gov/careers-employment/vocational-rehabilitation&lt;/a&gt;&lt;/summary&gt;
      &lt;p&gt;&lt;/p&gt;
    &lt;/details&gt;</v>
      </c>
      <c r="R102" s="17" t="e">
        <f>CONCATENATE("          &lt;!-- ",#REF!," - ",#REF!," --&gt;&lt;div id='drag",#REF!,"' class='catAll",IF(#REF!="X"," catArmySites",""),IF(A102="X"," catCombatReadiness",""),IF(B102="X"," catDod",""),IF(C102="X"," catFamily",""),IF(#REF!="X"," catFinance",""),IF(D102="X"," catHealth",""),IF(F102="X"," catHuman",""),IF(G102="X"," catLegal",""),IF(H102="X"," catProDev",""),IF(I102="X"," catTech",""),IF(J102="X"," catMilEd",""),IF(K102="X"," catCivEd",""),IF(M102="X","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2" s="17" t="e">
        <f>CONCATENATE("var js",#REF!," = document.getElementbyId('drag",#REF!,"').innerHTML; //  ",#REF!)</f>
        <v>#REF!</v>
      </c>
    </row>
    <row r="103" spans="1:19" x14ac:dyDescent="0.25">
      <c r="A103" s="19" t="s">
        <v>1188</v>
      </c>
      <c r="B103" s="19"/>
      <c r="C103" s="18" t="s">
        <v>1187</v>
      </c>
      <c r="E103" s="17" t="s">
        <v>639</v>
      </c>
      <c r="F103" s="17" t="s">
        <v>1186</v>
      </c>
      <c r="I103" s="17" t="s">
        <v>480</v>
      </c>
      <c r="N103" s="17" t="s">
        <v>480</v>
      </c>
      <c r="O103" s="17" t="str">
        <f>CONCATENATE("var js",Table13[[#This Row],[ID]]," = document.getElementbyId('",Table13[[#This Row],[ID]],"').innerHTML; //  ",Table13[[#This Row],[Site]])</f>
        <v>var jsTA102 = document.getElementbyId('TA102').innerHTML; //  VA Welcome Kit</v>
      </c>
      <c r="P103" s="17">
        <f ca="1">CONCATENATE("        &lt;!--",A103," - ",C103," --&gt;&lt;div class='column catAll",IF(I103="X"," catArmySites",""),IF(J103="X"," catCombatReadiness",""),IF(K103="X"," catDod",""),IF(M103="X"," catFamily",""),IF(N103="X"," catFinance",""),IF(O103="X"," catHealth",""),IF(P103="X"," catHuman",""),IF(Q103="X"," catLegal",""),IF(R103="X"," catProDev",""),IF(S103="X"," catTech",""),IF(T103="X"," catMilEd",""),IF(U103="X"," catCivEd",""),IF(V103="X"," catUsGov",""),"' style='margin-bottom: 0px;' id='",F103,"'&gt;&lt;a href='",C103,"' rel='noopener noreferrer' class='column hideMarquee'&gt;&lt;div class='armyCardContainer card'&gt;&lt;div class='armyCard'&gt;&lt;div&gt;&lt;p class='marquee'&gt;",D103,"&lt;/p&gt;",IF(H103="Yes","&lt;img src='assets/CaCRequired.png' title='A CAC is required to use some or all features of this site!' Class='cacLocked'&gt;",""),IF(G103="Yes","&lt;img src='assets/DODlock.png' title='This Site requires a DoD network connection to be used!' Class='dodLocked'&gt;",""),"&lt;img src='assets/",#REF!,"' class='cardImage' loading='lazy'&gt;&lt;/div&gt;&lt;div class='title'&gt;&lt;span&gt;",A103,"&lt;/span&gt;&lt;/div&gt;&lt;/div&gt;&lt;/div&gt;&lt;/a&gt;&lt;/div&gt;&lt;script&gt;var js",F103," = document.getElementById('",F103,"').innerHTML;&lt;/script&gt;")</f>
        <v>0</v>
      </c>
      <c r="Q103" s="17" t="str">
        <f t="shared" si="3"/>
        <v xml:space="preserve">    &lt;details class='noSpacing'&gt;&lt;!-- VA Welcome Kit - https://www.va.gov/welcome-kit --&gt;
      &lt;summary&gt;• &lt;a href='https://www.va.gov/welcome-kit' rel='noopener noreferrer'&gt;VA Welcome Kit - https://www.va.gov/welcome-kit&lt;/a&gt;&lt;/summary&gt;
      &lt;p&gt;&lt;/p&gt;
    &lt;/details&gt;</v>
      </c>
      <c r="R103" s="17" t="e">
        <f>CONCATENATE("          &lt;!-- ",#REF!," - ",#REF!," --&gt;&lt;div id='drag",#REF!,"' class='catAll",IF(#REF!="X"," catArmySites",""),IF(A103="X"," catCombatReadiness",""),IF(B103="X"," catDod",""),IF(C103="X"," catFamily",""),IF(#REF!="X"," catFinance",""),IF(D103="X"," catHealth",""),IF(F103="X"," catHuman",""),IF(G103="X"," catLegal",""),IF(H103="X"," catProDev",""),IF(I103="X"," catTech",""),IF(J103="X"," catMilEd",""),IF(K103="X"," catCivEd",""),IF(M103="X","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3" s="17" t="e">
        <f>CONCATENATE("var js",#REF!," = document.getElementbyId('drag",#REF!,"').innerHTML; //  ",#REF!)</f>
        <v>#REF!</v>
      </c>
    </row>
    <row r="104" spans="1:19" x14ac:dyDescent="0.25">
      <c r="A104" s="19" t="s">
        <v>1185</v>
      </c>
      <c r="B104" s="19"/>
      <c r="C104" s="18" t="s">
        <v>1184</v>
      </c>
      <c r="E104" s="17" t="s">
        <v>639</v>
      </c>
      <c r="F104" s="17" t="s">
        <v>1183</v>
      </c>
      <c r="G104" s="17" t="s">
        <v>480</v>
      </c>
      <c r="I104" s="17" t="s">
        <v>480</v>
      </c>
      <c r="O104" s="17" t="str">
        <f>CONCATENATE("var js",Table13[[#This Row],[ID]]," = document.getElementbyId('",Table13[[#This Row],[ID]],"').innerHTML; //  ",Table13[[#This Row],[Site]])</f>
        <v>var jsTA103 = document.getElementbyId('TA103').innerHTML; //  VA Women’s Health Transition Training</v>
      </c>
      <c r="P104" s="17">
        <f ca="1">CONCATENATE("        &lt;!--",A104," - ",C104," --&gt;&lt;div class='column catAll",IF(I104="X"," catArmySites",""),IF(J104="X"," catCombatReadiness",""),IF(K104="X"," catDod",""),IF(M104="X"," catFamily",""),IF(N104="X"," catFinance",""),IF(O104="X"," catHealth",""),IF(P104="X"," catHuman",""),IF(Q104="X"," catLegal",""),IF(R104="X"," catProDev",""),IF(S104="X"," catTech",""),IF(T104="X"," catMilEd",""),IF(U104="X"," catCivEd",""),IF(V104="X"," catUsGov",""),"' style='margin-bottom: 0px;' id='",F104,"'&gt;&lt;a href='",C104,"' rel='noopener noreferrer' class='column hideMarquee'&gt;&lt;div class='armyCardContainer card'&gt;&lt;div class='armyCard'&gt;&lt;div&gt;&lt;p class='marquee'&gt;",D104,"&lt;/p&gt;",IF(H104="Yes","&lt;img src='assets/CaCRequired.png' title='A CAC is required to use some or all features of this site!' Class='cacLocked'&gt;",""),IF(G104="Yes","&lt;img src='assets/DODlock.png' title='This Site requires a DoD network connection to be used!' Class='dodLocked'&gt;",""),"&lt;img src='assets/",#REF!,"' class='cardImage' loading='lazy'&gt;&lt;/div&gt;&lt;div class='title'&gt;&lt;span&gt;",A104,"&lt;/span&gt;&lt;/div&gt;&lt;/div&gt;&lt;/div&gt;&lt;/a&gt;&lt;/div&gt;&lt;script&gt;var js",F104," = document.getElementById('",F104,"').innerHTML;&lt;/script&gt;")</f>
        <v>0</v>
      </c>
      <c r="Q104" s="17" t="str">
        <f t="shared" si="3"/>
        <v xml:space="preserve">    &lt;details class='noSpacing'&gt;&lt;!-- VA Women’s Health Transition Training - https://www.va.gov/womenvet/whtt --&gt;
      &lt;summary&gt;• &lt;a href='https://www.va.gov/womenvet/whtt' rel='noopener noreferrer'&gt;VA Women’s Health Transition Training - https://www.va.gov/womenvet/whtt&lt;/a&gt;&lt;/summary&gt;
      &lt;p&gt;&lt;/p&gt;
    &lt;/details&gt;</v>
      </c>
      <c r="R104" s="17" t="e">
        <f>CONCATENATE("          &lt;!-- ",#REF!," - ",#REF!," --&gt;&lt;div id='drag",#REF!,"' class='catAll",IF(#REF!="X"," catArmySites",""),IF(A104="X"," catCombatReadiness",""),IF(B104="X"," catDod",""),IF(C104="X"," catFamily",""),IF(#REF!="X"," catFinance",""),IF(D104="X"," catHealth",""),IF(F104="X"," catHuman",""),IF(G104="X"," catLegal",""),IF(H104="X"," catProDev",""),IF(I104="X"," catTech",""),IF(J104="X"," catMilEd",""),IF(K104="X"," catCivEd",""),IF(M104="X","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4" s="17" t="e">
        <f>CONCATENATE("var js",#REF!," = document.getElementbyId('drag",#REF!,"').innerHTML; //  ",#REF!)</f>
        <v>#REF!</v>
      </c>
    </row>
    <row r="105" spans="1:19" x14ac:dyDescent="0.25">
      <c r="A105" s="19" t="s">
        <v>1182</v>
      </c>
      <c r="B105" s="19"/>
      <c r="C105" s="18" t="s">
        <v>1181</v>
      </c>
      <c r="E105" s="17" t="s">
        <v>639</v>
      </c>
      <c r="F105" s="17" t="s">
        <v>1180</v>
      </c>
      <c r="I105" s="17" t="s">
        <v>480</v>
      </c>
      <c r="K105" s="17" t="s">
        <v>480</v>
      </c>
      <c r="O105" s="17" t="str">
        <f>CONCATENATE("var js",Table13[[#This Row],[ID]]," = document.getElementbyId('",Table13[[#This Row],[ID]],"').innerHTML; //  ",Table13[[#This Row],[Site]])</f>
        <v>var jsTA104 = document.getElementbyId('TA104').innerHTML; //  Va Work study</v>
      </c>
      <c r="P105" s="17">
        <f ca="1">CONCATENATE("        &lt;!--",A105," - ",C105," --&gt;&lt;div class='column catAll",IF(I105="X"," catArmySites",""),IF(J105="X"," catCombatReadiness",""),IF(K105="X"," catDod",""),IF(M105="X"," catFamily",""),IF(N105="X"," catFinance",""),IF(O105="X"," catHealth",""),IF(P105="X"," catHuman",""),IF(Q105="X"," catLegal",""),IF(R105="X"," catProDev",""),IF(S105="X"," catTech",""),IF(T105="X"," catMilEd",""),IF(U105="X"," catCivEd",""),IF(V105="X"," catUsGov",""),"' style='margin-bottom: 0px;' id='",F105,"'&gt;&lt;a href='",C105,"' rel='noopener noreferrer' class='column hideMarquee'&gt;&lt;div class='armyCardContainer card'&gt;&lt;div class='armyCard'&gt;&lt;div&gt;&lt;p class='marquee'&gt;",D105,"&lt;/p&gt;",IF(H105="Yes","&lt;img src='assets/CaCRequired.png' title='A CAC is required to use some or all features of this site!' Class='cacLocked'&gt;",""),IF(G105="Yes","&lt;img src='assets/DODlock.png' title='This Site requires a DoD network connection to be used!' Class='dodLocked'&gt;",""),"&lt;img src='assets/",#REF!,"' class='cardImage' loading='lazy'&gt;&lt;/div&gt;&lt;div class='title'&gt;&lt;span&gt;",A105,"&lt;/span&gt;&lt;/div&gt;&lt;/div&gt;&lt;/div&gt;&lt;/a&gt;&lt;/div&gt;&lt;script&gt;var js",F105," = document.getElementById('",F105,"').innerHTML;&lt;/script&gt;")</f>
        <v>0</v>
      </c>
      <c r="Q105" s="17" t="str">
        <f t="shared" si="3"/>
        <v xml:space="preserve">    &lt;details class='noSpacing'&gt;&lt;!-- Va Work study - https://www.va.gov/education/about-gi-bill-benefits/how-to-use-benefits/work-study --&gt;
      &lt;summary&gt;• &lt;a href='https://www.va.gov/education/about-gi-bill-benefits/how-to-use-benefits/work-study' rel='noopener noreferrer'&gt;Va Work study - https://www.va.gov/education/about-gi-bill-benefits/how-to-use-benefits/work-study&lt;/a&gt;&lt;/summary&gt;
      &lt;p&gt;&lt;/p&gt;
    &lt;/details&gt;</v>
      </c>
      <c r="R105" s="17" t="e">
        <f>CONCATENATE("          &lt;!-- ",#REF!," - ",#REF!," --&gt;&lt;div id='drag",#REF!,"' class='catAll",IF(#REF!="X"," catArmySites",""),IF(A105="X"," catCombatReadiness",""),IF(B105="X"," catDod",""),IF(C105="X"," catFamily",""),IF(#REF!="X"," catFinance",""),IF(D105="X"," catHealth",""),IF(F105="X"," catHuman",""),IF(G105="X"," catLegal",""),IF(H105="X"," catProDev",""),IF(I105="X"," catTech",""),IF(J105="X"," catMilEd",""),IF(K105="X"," catCivEd",""),IF(M105="X","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5" s="17" t="e">
        <f>CONCATENATE("var js",#REF!," = document.getElementbyId('drag",#REF!,"').innerHTML; //  ",#REF!)</f>
        <v>#REF!</v>
      </c>
    </row>
    <row r="106" spans="1:19" x14ac:dyDescent="0.25">
      <c r="A106" s="19" t="s">
        <v>1179</v>
      </c>
      <c r="B106" s="19"/>
      <c r="C106" s="18" t="s">
        <v>1178</v>
      </c>
      <c r="E106" s="17" t="s">
        <v>639</v>
      </c>
      <c r="F106" s="17" t="s">
        <v>1177</v>
      </c>
      <c r="H106" s="17" t="s">
        <v>18</v>
      </c>
      <c r="I106" s="17" t="s">
        <v>480</v>
      </c>
      <c r="O106" s="17" t="str">
        <f>CONCATENATE("var js",Table13[[#This Row],[ID]]," = document.getElementbyId('",Table13[[#This Row],[ID]],"').innerHTML; //  ",Table13[[#This Row],[Site]])</f>
        <v>var jsTA105 = document.getElementbyId('TA105').innerHTML; //  VA-backed Veterans home loans</v>
      </c>
      <c r="P106" s="17">
        <f ca="1">CONCATENATE("        &lt;!--",A106," - ",C106," --&gt;&lt;div class='column catAll",IF(I106="X"," catArmySites",""),IF(J106="X"," catCombatReadiness",""),IF(K106="X"," catDod",""),IF(M106="X"," catFamily",""),IF(N106="X"," catFinance",""),IF(O106="X"," catHealth",""),IF(P106="X"," catHuman",""),IF(Q106="X"," catLegal",""),IF(R106="X"," catProDev",""),IF(S106="X"," catTech",""),IF(T106="X"," catMilEd",""),IF(U106="X"," catCivEd",""),IF(V106="X"," catUsGov",""),"' style='margin-bottom: 0px;' id='",F106,"'&gt;&lt;a href='",C106,"' rel='noopener noreferrer' class='column hideMarquee'&gt;&lt;div class='armyCardContainer card'&gt;&lt;div class='armyCard'&gt;&lt;div&gt;&lt;p class='marquee'&gt;",D106,"&lt;/p&gt;",IF(H106="Yes","&lt;img src='assets/CaCRequired.png' title='A CAC is required to use some or all features of this site!' Class='cacLocked'&gt;",""),IF(G106="Yes","&lt;img src='assets/DODlock.png' title='This Site requires a DoD network connection to be used!' Class='dodLocked'&gt;",""),"&lt;img src='assets/",#REF!,"' class='cardImage' loading='lazy'&gt;&lt;/div&gt;&lt;div class='title'&gt;&lt;span&gt;",A106,"&lt;/span&gt;&lt;/div&gt;&lt;/div&gt;&lt;/div&gt;&lt;/a&gt;&lt;/div&gt;&lt;script&gt;var js",F106," = document.getElementById('",F106,"').innerHTML;&lt;/script&gt;")</f>
        <v>0</v>
      </c>
      <c r="Q106" s="17" t="str">
        <f t="shared" si="3"/>
        <v xml:space="preserve">    &lt;details class='noSpacing'&gt;&lt;!-- VA-backed Veterans home loans - https://www.va.gov/housing-assistance/home-loans --&gt;
      &lt;summary&gt;• &lt;a href='https://www.va.gov/housing-assistance/home-loans' rel='noopener noreferrer'&gt;VA-backed Veterans home loans - https://www.va.gov/housing-assistance/home-loans&lt;/a&gt;&lt;/summary&gt;
      &lt;p&gt;&lt;/p&gt;
    &lt;/details&gt;</v>
      </c>
      <c r="R106" s="17" t="e">
        <f>CONCATENATE("          &lt;!-- ",#REF!," - ",#REF!," --&gt;&lt;div id='drag",#REF!,"' class='catAll",IF(#REF!="X"," catArmySites",""),IF(A106="X"," catCombatReadiness",""),IF(B106="X"," catDod",""),IF(C106="X"," catFamily",""),IF(#REF!="X"," catFinance",""),IF(D106="X"," catHealth",""),IF(F106="X"," catHuman",""),IF(G106="X"," catLegal",""),IF(H106="X"," catProDev",""),IF(I106="X"," catTech",""),IF(J106="X"," catMilEd",""),IF(K106="X"," catCivEd",""),IF(M106="X","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6" s="17" t="e">
        <f>CONCATENATE("var js",#REF!," = document.getElementbyId('drag",#REF!,"').innerHTML; //  ",#REF!)</f>
        <v>#REF!</v>
      </c>
    </row>
    <row r="107" spans="1:19" x14ac:dyDescent="0.25">
      <c r="A107" s="19" t="s">
        <v>1176</v>
      </c>
      <c r="B107" s="19"/>
      <c r="C107" s="18" t="s">
        <v>1175</v>
      </c>
      <c r="E107" s="17" t="s">
        <v>639</v>
      </c>
      <c r="F107" s="17" t="s">
        <v>1174</v>
      </c>
      <c r="G107" s="17" t="s">
        <v>480</v>
      </c>
      <c r="I107" s="17" t="s">
        <v>480</v>
      </c>
      <c r="O107" s="17" t="str">
        <f>CONCATENATE("var js",Table13[[#This Row],[ID]]," = document.getElementbyId('",Table13[[#This Row],[ID]],"').innerHTML; //  ",Table13[[#This Row],[Site]])</f>
        <v>var jsTA106 = document.getElementbyId('TA106').innerHTML; //  Vet Centers (Readjustment Counseling)</v>
      </c>
      <c r="P107" s="17">
        <f ca="1">CONCATENATE("        &lt;!--",A107," - ",C107," --&gt;&lt;div class='column catAll",IF(I107="X"," catArmySites",""),IF(J107="X"," catCombatReadiness",""),IF(K107="X"," catDod",""),IF(M107="X"," catFamily",""),IF(N107="X"," catFinance",""),IF(O107="X"," catHealth",""),IF(P107="X"," catHuman",""),IF(Q107="X"," catLegal",""),IF(R107="X"," catProDev",""),IF(S107="X"," catTech",""),IF(T107="X"," catMilEd",""),IF(U107="X"," catCivEd",""),IF(V107="X"," catUsGov",""),"' style='margin-bottom: 0px;' id='",F107,"'&gt;&lt;a href='",C107,"' rel='noopener noreferrer' class='column hideMarquee'&gt;&lt;div class='armyCardContainer card'&gt;&lt;div class='armyCard'&gt;&lt;div&gt;&lt;p class='marquee'&gt;",D107,"&lt;/p&gt;",IF(H107="Yes","&lt;img src='assets/CaCRequired.png' title='A CAC is required to use some or all features of this site!' Class='cacLocked'&gt;",""),IF(G107="Yes","&lt;img src='assets/DODlock.png' title='This Site requires a DoD network connection to be used!' Class='dodLocked'&gt;",""),"&lt;img src='assets/",#REF!,"' class='cardImage' loading='lazy'&gt;&lt;/div&gt;&lt;div class='title'&gt;&lt;span&gt;",A107,"&lt;/span&gt;&lt;/div&gt;&lt;/div&gt;&lt;/div&gt;&lt;/a&gt;&lt;/div&gt;&lt;script&gt;var js",F107," = document.getElementById('",F107,"').innerHTML;&lt;/script&gt;")</f>
        <v>0</v>
      </c>
      <c r="Q107" s="17" t="str">
        <f t="shared" si="3"/>
        <v xml:space="preserve">    &lt;details class='noSpacing'&gt;&lt;!-- Vet Centers (Readjustment Counseling) - https://www.vetcenter.va.gov --&gt;
      &lt;summary&gt;• &lt;a href='https://www.vetcenter.va.gov' rel='noopener noreferrer'&gt;Vet Centers (Readjustment Counseling) - https://www.vetcenter.va.gov&lt;/a&gt;&lt;/summary&gt;
      &lt;p&gt;&lt;/p&gt;
    &lt;/details&gt;</v>
      </c>
      <c r="R107" s="17" t="e">
        <f>CONCATENATE("          &lt;!-- ",#REF!," - ",#REF!," --&gt;&lt;div id='drag",#REF!,"' class='catAll",IF(#REF!="X"," catArmySites",""),IF(A107="X"," catCombatReadiness",""),IF(B107="X"," catDod",""),IF(C107="X"," catFamily",""),IF(#REF!="X"," catFinance",""),IF(D107="X"," catHealth",""),IF(F107="X"," catHuman",""),IF(G107="X"," catLegal",""),IF(H107="X"," catProDev",""),IF(I107="X"," catTech",""),IF(J107="X"," catMilEd",""),IF(K107="X"," catCivEd",""),IF(M107="X","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7" s="17" t="e">
        <f>CONCATENATE("var js",#REF!," = document.getElementbyId('drag",#REF!,"').innerHTML; //  ",#REF!)</f>
        <v>#REF!</v>
      </c>
    </row>
    <row r="108" spans="1:19" x14ac:dyDescent="0.25">
      <c r="A108" s="19" t="s">
        <v>1173</v>
      </c>
      <c r="B108" s="19"/>
      <c r="C108" s="18" t="s">
        <v>1172</v>
      </c>
      <c r="E108" s="17" t="s">
        <v>639</v>
      </c>
      <c r="F108" s="17" t="s">
        <v>1171</v>
      </c>
      <c r="I108" s="17" t="s">
        <v>480</v>
      </c>
      <c r="K108" s="17" t="s">
        <v>480</v>
      </c>
      <c r="O108" s="17" t="str">
        <f>CONCATENATE("var js",Table13[[#This Row],[ID]]," = document.getElementbyId('",Table13[[#This Row],[ID]],"').innerHTML; //  ",Table13[[#This Row],[Site]])</f>
        <v>var jsTA107 = document.getElementbyId('TA107').innerHTML; //  Veteran and Military Spouse Talent Engagement Program (VMSTEP)</v>
      </c>
      <c r="P108" s="17">
        <f ca="1">CONCATENATE("        &lt;!--",A108," - ",C108," --&gt;&lt;div class='column catAll",IF(I108="X"," catArmySites",""),IF(J108="X"," catCombatReadiness",""),IF(K108="X"," catDod",""),IF(M108="X"," catFamily",""),IF(N108="X"," catFinance",""),IF(O108="X"," catHealth",""),IF(P108="X"," catHuman",""),IF(Q108="X"," catLegal",""),IF(R108="X"," catProDev",""),IF(S108="X"," catTech",""),IF(T108="X"," catMilEd",""),IF(U108="X"," catCivEd",""),IF(V108="X"," catUsGov",""),"' style='margin-bottom: 0px;' id='",F108,"'&gt;&lt;a href='",C108,"' rel='noopener noreferrer' class='column hideMarquee'&gt;&lt;div class='armyCardContainer card'&gt;&lt;div class='armyCard'&gt;&lt;div&gt;&lt;p class='marquee'&gt;",D108,"&lt;/p&gt;",IF(H108="Yes","&lt;img src='assets/CaCRequired.png' title='A CAC is required to use some or all features of this site!' Class='cacLocked'&gt;",""),IF(G108="Yes","&lt;img src='assets/DODlock.png' title='This Site requires a DoD network connection to be used!' Class='dodLocked'&gt;",""),"&lt;img src='assets/",#REF!,"' class='cardImage' loading='lazy'&gt;&lt;/div&gt;&lt;div class='title'&gt;&lt;span&gt;",A108,"&lt;/span&gt;&lt;/div&gt;&lt;/div&gt;&lt;/div&gt;&lt;/a&gt;&lt;/div&gt;&lt;script&gt;var js",F108," = document.getElementById('",F108,"').innerHTML;&lt;/script&gt;")</f>
        <v>0</v>
      </c>
      <c r="Q108" s="17" t="str">
        <f t="shared" si="3"/>
        <v xml:space="preserve">    &lt;details class='noSpacing'&gt;&lt;!-- Veteran and Military Spouse Talent Engagement Program (VMSTEP) - https://www.vaforvets.va.gov --&gt;
      &lt;summary&gt;• &lt;a href='https://www.vaforvets.va.gov' rel='noopener noreferrer'&gt;Veteran and Military Spouse Talent Engagement Program (VMSTEP) - https://www.vaforvets.va.gov&lt;/a&gt;&lt;/summary&gt;
      &lt;p&gt;&lt;/p&gt;
    &lt;/details&gt;</v>
      </c>
      <c r="R108" s="17" t="e">
        <f>CONCATENATE("          &lt;!-- ",#REF!," - ",#REF!," --&gt;&lt;div id='drag",#REF!,"' class='catAll",IF(#REF!="X"," catArmySites",""),IF(A108="X"," catCombatReadiness",""),IF(B108="X"," catDod",""),IF(C108="X"," catFamily",""),IF(#REF!="X"," catFinance",""),IF(D108="X"," catHealth",""),IF(F108="X"," catHuman",""),IF(G108="X"," catLegal",""),IF(H108="X"," catProDev",""),IF(I108="X"," catTech",""),IF(J108="X"," catMilEd",""),IF(K108="X"," catCivEd",""),IF(M108="X","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8" s="17" t="e">
        <f>CONCATENATE("var js",#REF!," = document.getElementbyId('drag",#REF!,"').innerHTML; //  ",#REF!)</f>
        <v>#REF!</v>
      </c>
    </row>
    <row r="109" spans="1:19" x14ac:dyDescent="0.25">
      <c r="A109" s="19" t="s">
        <v>1170</v>
      </c>
      <c r="B109" s="19"/>
      <c r="C109" s="18" t="s">
        <v>1169</v>
      </c>
      <c r="E109" s="17" t="s">
        <v>639</v>
      </c>
      <c r="F109" s="17" t="s">
        <v>1168</v>
      </c>
      <c r="I109" s="17" t="s">
        <v>480</v>
      </c>
      <c r="O109" s="17" t="str">
        <f>CONCATENATE("var js",Table13[[#This Row],[ID]]," = document.getElementbyId('",Table13[[#This Row],[ID]],"').innerHTML; //  ",Table13[[#This Row],[Site]])</f>
        <v>var jsTA108 = document.getElementbyId('TA108').innerHTML; //  Veterans Affairs - Accredited Representatives</v>
      </c>
      <c r="P109" s="17">
        <f ca="1">CONCATENATE("        &lt;!--",A109," - ",C109," --&gt;&lt;div class='column catAll",IF(I109="X"," catArmySites",""),IF(J109="X"," catCombatReadiness",""),IF(K109="X"," catDod",""),IF(M109="X"," catFamily",""),IF(N109="X"," catFinance",""),IF(O109="X"," catHealth",""),IF(P109="X"," catHuman",""),IF(Q109="X"," catLegal",""),IF(R109="X"," catProDev",""),IF(S109="X"," catTech",""),IF(T109="X"," catMilEd",""),IF(U109="X"," catCivEd",""),IF(V109="X"," catUsGov",""),"' style='margin-bottom: 0px;' id='",F109,"'&gt;&lt;a href='",C109,"' rel='noopener noreferrer' class='column hideMarquee'&gt;&lt;div class='armyCardContainer card'&gt;&lt;div class='armyCard'&gt;&lt;div&gt;&lt;p class='marquee'&gt;",D109,"&lt;/p&gt;",IF(H109="Yes","&lt;img src='assets/CaCRequired.png' title='A CAC is required to use some or all features of this site!' Class='cacLocked'&gt;",""),IF(G109="Yes","&lt;img src='assets/DODlock.png' title='This Site requires a DoD network connection to be used!' Class='dodLocked'&gt;",""),"&lt;img src='assets/",#REF!,"' class='cardImage' loading='lazy'&gt;&lt;/div&gt;&lt;div class='title'&gt;&lt;span&gt;",A109,"&lt;/span&gt;&lt;/div&gt;&lt;/div&gt;&lt;/div&gt;&lt;/a&gt;&lt;/div&gt;&lt;script&gt;var js",F109," = document.getElementById('",F109,"').innerHTML;&lt;/script&gt;")</f>
        <v>0</v>
      </c>
      <c r="Q109" s="17" t="str">
        <f t="shared" si="3"/>
        <v xml:space="preserve">    &lt;details class='noSpacing'&gt;&lt;!-- Veterans Affairs - Accredited Representatives - https://www.benefits.va.gov/vso --&gt;
      &lt;summary&gt;• &lt;a href='https://www.benefits.va.gov/vso' rel='noopener noreferrer'&gt;Veterans Affairs - Accredited Representatives - https://www.benefits.va.gov/vso&lt;/a&gt;&lt;/summary&gt;
      &lt;p&gt;&lt;/p&gt;
    &lt;/details&gt;</v>
      </c>
      <c r="R109" s="17" t="e">
        <f>CONCATENATE("          &lt;!-- ",#REF!," - ",#REF!," --&gt;&lt;div id='drag",#REF!,"' class='catAll",IF(#REF!="X"," catArmySites",""),IF(A109="X"," catCombatReadiness",""),IF(B109="X"," catDod",""),IF(C109="X"," catFamily",""),IF(#REF!="X"," catFinance",""),IF(D109="X"," catHealth",""),IF(F109="X"," catHuman",""),IF(G109="X"," catLegal",""),IF(H109="X"," catProDev",""),IF(I109="X"," catTech",""),IF(J109="X"," catMilEd",""),IF(K109="X"," catCivEd",""),IF(M109="X","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09" s="17" t="e">
        <f>CONCATENATE("var js",#REF!," = document.getElementbyId('drag",#REF!,"').innerHTML; //  ",#REF!)</f>
        <v>#REF!</v>
      </c>
    </row>
    <row r="110" spans="1:19" x14ac:dyDescent="0.25">
      <c r="A110" s="19" t="s">
        <v>1167</v>
      </c>
      <c r="B110" s="19"/>
      <c r="C110" s="18" t="s">
        <v>1166</v>
      </c>
      <c r="E110" s="17" t="s">
        <v>639</v>
      </c>
      <c r="F110" s="17" t="s">
        <v>1165</v>
      </c>
      <c r="I110" s="17" t="s">
        <v>480</v>
      </c>
      <c r="J110" s="17" t="s">
        <v>480</v>
      </c>
      <c r="N110" s="17" t="s">
        <v>480</v>
      </c>
      <c r="O110" s="17" t="str">
        <f>CONCATENATE("var js",Table13[[#This Row],[ID]]," = document.getElementbyId('",Table13[[#This Row],[ID]],"').innerHTML; //  ",Table13[[#This Row],[Site]])</f>
        <v>var jsTA109 = document.getElementbyId('TA109').innerHTML; //  Veterans Affairs - Outreach, Transition and Economic Development</v>
      </c>
      <c r="P110" s="17">
        <f ca="1">CONCATENATE("        &lt;!--",A110," - ",C110," --&gt;&lt;div class='column catAll",IF(I110="X"," catArmySites",""),IF(J110="X"," catCombatReadiness",""),IF(K110="X"," catDod",""),IF(M110="X"," catFamily",""),IF(N110="X"," catFinance",""),IF(O110="X"," catHealth",""),IF(P110="X"," catHuman",""),IF(Q110="X"," catLegal",""),IF(R110="X"," catProDev",""),IF(S110="X"," catTech",""),IF(T110="X"," catMilEd",""),IF(U110="X"," catCivEd",""),IF(V110="X"," catUsGov",""),"' style='margin-bottom: 0px;' id='",F110,"'&gt;&lt;a href='",C110,"' rel='noopener noreferrer' class='column hideMarquee'&gt;&lt;div class='armyCardContainer card'&gt;&lt;div class='armyCard'&gt;&lt;div&gt;&lt;p class='marquee'&gt;",D110,"&lt;/p&gt;",IF(H110="Yes","&lt;img src='assets/CaCRequired.png' title='A CAC is required to use some or all features of this site!' Class='cacLocked'&gt;",""),IF(G110="Yes","&lt;img src='assets/DODlock.png' title='This Site requires a DoD network connection to be used!' Class='dodLocked'&gt;",""),"&lt;img src='assets/",#REF!,"' class='cardImage' loading='lazy'&gt;&lt;/div&gt;&lt;div class='title'&gt;&lt;span&gt;",A110,"&lt;/span&gt;&lt;/div&gt;&lt;/div&gt;&lt;/div&gt;&lt;/a&gt;&lt;/div&gt;&lt;script&gt;var js",F110," = document.getElementById('",F110,"').innerHTML;&lt;/script&gt;")</f>
        <v>0</v>
      </c>
      <c r="Q110" s="17" t="str">
        <f t="shared" si="3"/>
        <v xml:space="preserve">    &lt;details class='noSpacing'&gt;&lt;!-- Veterans Affairs - Outreach, Transition and Economic Development - https://www.benefits.va.gov/tap --&gt;
      &lt;summary&gt;• &lt;a href='https://www.benefits.va.gov/tap' rel='noopener noreferrer'&gt;Veterans Affairs - Outreach, Transition and Economic Development - https://www.benefits.va.gov/tap&lt;/a&gt;&lt;/summary&gt;
      &lt;p&gt;&lt;/p&gt;
    &lt;/details&gt;</v>
      </c>
      <c r="R110" s="17" t="e">
        <f>CONCATENATE("          &lt;!-- ",#REF!," - ",#REF!," --&gt;&lt;div id='drag",#REF!,"' class='catAll",IF(#REF!="X"," catArmySites",""),IF(A110="X"," catCombatReadiness",""),IF(B110="X"," catDod",""),IF(C110="X"," catFamily",""),IF(#REF!="X"," catFinance",""),IF(D110="X"," catHealth",""),IF(F110="X"," catHuman",""),IF(G110="X"," catLegal",""),IF(H110="X"," catProDev",""),IF(I110="X"," catTech",""),IF(J110="X"," catMilEd",""),IF(K110="X"," catCivEd",""),IF(M110="X","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0" s="17" t="e">
        <f>CONCATENATE("var js",#REF!," = document.getElementbyId('drag",#REF!,"').innerHTML; //  ",#REF!)</f>
        <v>#REF!</v>
      </c>
    </row>
    <row r="111" spans="1:19" x14ac:dyDescent="0.25">
      <c r="A111" s="19" t="s">
        <v>1164</v>
      </c>
      <c r="B111" s="19"/>
      <c r="C111" s="18" t="s">
        <v>1163</v>
      </c>
      <c r="E111" s="17" t="s">
        <v>639</v>
      </c>
      <c r="F111" s="17" t="s">
        <v>1162</v>
      </c>
      <c r="I111" s="17" t="s">
        <v>480</v>
      </c>
      <c r="M111" s="17" t="s">
        <v>480</v>
      </c>
      <c r="O111" s="17" t="str">
        <f>CONCATENATE("var js",Table13[[#This Row],[ID]]," = document.getElementbyId('",Table13[[#This Row],[ID]],"').innerHTML; //  ",Table13[[#This Row],[Site]])</f>
        <v>var jsTA110 = document.getElementbyId('TA110').innerHTML; //  Veterans Affairs Benefit Rates</v>
      </c>
      <c r="P111" s="17">
        <f ca="1">CONCATENATE("        &lt;!--",A111," - ",C111," --&gt;&lt;div class='column catAll",IF(I111="X"," catArmySites",""),IF(J111="X"," catCombatReadiness",""),IF(K111="X"," catDod",""),IF(M111="X"," catFamily",""),IF(N111="X"," catFinance",""),IF(O111="X"," catHealth",""),IF(P111="X"," catHuman",""),IF(Q111="X"," catLegal",""),IF(R111="X"," catProDev",""),IF(S111="X"," catTech",""),IF(T111="X"," catMilEd",""),IF(U111="X"," catCivEd",""),IF(V111="X"," catUsGov",""),"' style='margin-bottom: 0px;' id='",F111,"'&gt;&lt;a href='",C111,"' rel='noopener noreferrer' class='column hideMarquee'&gt;&lt;div class='armyCardContainer card'&gt;&lt;div class='armyCard'&gt;&lt;div&gt;&lt;p class='marquee'&gt;",D111,"&lt;/p&gt;",IF(H111="Yes","&lt;img src='assets/CaCRequired.png' title='A CAC is required to use some or all features of this site!' Class='cacLocked'&gt;",""),IF(G111="Yes","&lt;img src='assets/DODlock.png' title='This Site requires a DoD network connection to be used!' Class='dodLocked'&gt;",""),"&lt;img src='assets/",#REF!,"' class='cardImage' loading='lazy'&gt;&lt;/div&gt;&lt;div class='title'&gt;&lt;span&gt;",A111,"&lt;/span&gt;&lt;/div&gt;&lt;/div&gt;&lt;/div&gt;&lt;/a&gt;&lt;/div&gt;&lt;script&gt;var js",F111," = document.getElementById('",F111,"').innerHTML;&lt;/script&gt;")</f>
        <v>0</v>
      </c>
      <c r="Q111" s="17" t="str">
        <f t="shared" si="3"/>
        <v xml:space="preserve">    &lt;details class='noSpacing'&gt;&lt;!-- Veterans Affairs Benefit Rates - https://www.benefits.va.gov/compensation/rates-index.asp --&gt;
      &lt;summary&gt;• &lt;a href='https://www.benefits.va.gov/compensation/rates-index.asp' rel='noopener noreferrer'&gt;Veterans Affairs Benefit Rates - https://www.benefits.va.gov/compensation/rates-index.asp&lt;/a&gt;&lt;/summary&gt;
      &lt;p&gt;&lt;/p&gt;
    &lt;/details&gt;</v>
      </c>
      <c r="R111" s="17" t="e">
        <f>CONCATENATE("          &lt;!-- ",#REF!," - ",#REF!," --&gt;&lt;div id='drag",#REF!,"' class='catAll",IF(#REF!="X"," catArmySites",""),IF(A111="X"," catCombatReadiness",""),IF(B111="X"," catDod",""),IF(C111="X"," catFamily",""),IF(#REF!="X"," catFinance",""),IF(D111="X"," catHealth",""),IF(F111="X"," catHuman",""),IF(G111="X"," catLegal",""),IF(H111="X"," catProDev",""),IF(I111="X"," catTech",""),IF(J111="X"," catMilEd",""),IF(K111="X"," catCivEd",""),IF(M111="X","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1" s="17" t="e">
        <f>CONCATENATE("var js",#REF!," = document.getElementbyId('drag",#REF!,"').innerHTML; //  ",#REF!)</f>
        <v>#REF!</v>
      </c>
    </row>
    <row r="112" spans="1:19" x14ac:dyDescent="0.25">
      <c r="A112" s="19" t="s">
        <v>1161</v>
      </c>
      <c r="B112" s="19"/>
      <c r="C112" s="18" t="s">
        <v>1160</v>
      </c>
      <c r="E112" s="17" t="s">
        <v>639</v>
      </c>
      <c r="F112" s="17" t="s">
        <v>1159</v>
      </c>
      <c r="I112" s="17" t="s">
        <v>480</v>
      </c>
      <c r="K112" s="17" t="s">
        <v>480</v>
      </c>
      <c r="O112" s="17" t="str">
        <f>CONCATENATE("var js",Table13[[#This Row],[ID]]," = document.getElementbyId('",Table13[[#This Row],[ID]],"').innerHTML; //  ",Table13[[#This Row],[Site]])</f>
        <v>var jsTA111 = document.getElementbyId('TA111').innerHTML; //  Veterans Affairs Education and Training Regional Processing Offices</v>
      </c>
      <c r="P112" s="17">
        <f ca="1">CONCATENATE("        &lt;!--",A112," - ",C112," --&gt;&lt;div class='column catAll",IF(I112="X"," catArmySites",""),IF(J112="X"," catCombatReadiness",""),IF(K112="X"," catDod",""),IF(M112="X"," catFamily",""),IF(N112="X"," catFinance",""),IF(O112="X"," catHealth",""),IF(P112="X"," catHuman",""),IF(Q112="X"," catLegal",""),IF(R112="X"," catProDev",""),IF(S112="X"," catTech",""),IF(T112="X"," catMilEd",""),IF(U112="X"," catCivEd",""),IF(V112="X"," catUsGov",""),"' style='margin-bottom: 0px;' id='",F112,"'&gt;&lt;a href='",C112,"' rel='noopener noreferrer' class='column hideMarquee'&gt;&lt;div class='armyCardContainer card'&gt;&lt;div class='armyCard'&gt;&lt;div&gt;&lt;p class='marquee'&gt;",D112,"&lt;/p&gt;",IF(H112="Yes","&lt;img src='assets/CaCRequired.png' title='A CAC is required to use some or all features of this site!' Class='cacLocked'&gt;",""),IF(G112="Yes","&lt;img src='assets/DODlock.png' title='This Site requires a DoD network connection to be used!' Class='dodLocked'&gt;",""),"&lt;img src='assets/",#REF!,"' class='cardImage' loading='lazy'&gt;&lt;/div&gt;&lt;div class='title'&gt;&lt;span&gt;",A112,"&lt;/span&gt;&lt;/div&gt;&lt;/div&gt;&lt;/div&gt;&lt;/a&gt;&lt;/div&gt;&lt;script&gt;var js",F112," = document.getElementById('",F112,"').innerHTML;&lt;/script&gt;")</f>
        <v>0</v>
      </c>
      <c r="Q112" s="17" t="str">
        <f t="shared" si="3"/>
        <v xml:space="preserve">    &lt;details class='noSpacing'&gt;&lt;!-- Veterans Affairs Education and Training Regional Processing Offices - https://www.benefits.va.gov/gibill/regional_processing.asp --&gt;
      &lt;summary&gt;• &lt;a href='https://www.benefits.va.gov/gibill/regional_processing.asp' rel='noopener noreferrer'&gt;Veterans Affairs Education and Training Regional Processing Offices - https://www.benefits.va.gov/gibill/regional_processing.asp&lt;/a&gt;&lt;/summary&gt;
      &lt;p&gt;&lt;/p&gt;
    &lt;/details&gt;</v>
      </c>
      <c r="R112" s="17" t="e">
        <f>CONCATENATE("          &lt;!-- ",#REF!," - ",#REF!," --&gt;&lt;div id='drag",#REF!,"' class='catAll",IF(#REF!="X"," catArmySites",""),IF(A112="X"," catCombatReadiness",""),IF(B112="X"," catDod",""),IF(C112="X"," catFamily",""),IF(#REF!="X"," catFinance",""),IF(D112="X"," catHealth",""),IF(F112="X"," catHuman",""),IF(G112="X"," catLegal",""),IF(H112="X"," catProDev",""),IF(I112="X"," catTech",""),IF(J112="X"," catMilEd",""),IF(K112="X"," catCivEd",""),IF(M112="X","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2" s="17" t="e">
        <f>CONCATENATE("var js",#REF!," = document.getElementbyId('drag",#REF!,"').innerHTML; //  ",#REF!)</f>
        <v>#REF!</v>
      </c>
    </row>
    <row r="113" spans="1:19" x14ac:dyDescent="0.25">
      <c r="A113" s="19" t="s">
        <v>1158</v>
      </c>
      <c r="B113" s="19"/>
      <c r="C113" s="18" t="s">
        <v>1157</v>
      </c>
      <c r="E113" s="17" t="s">
        <v>639</v>
      </c>
      <c r="F113" s="17" t="s">
        <v>1156</v>
      </c>
      <c r="I113" s="17" t="s">
        <v>480</v>
      </c>
      <c r="M113" s="17" t="s">
        <v>480</v>
      </c>
      <c r="O113" s="17" t="str">
        <f>CONCATENATE("var js",Table13[[#This Row],[ID]]," = document.getElementbyId('",Table13[[#This Row],[ID]],"').innerHTML; //  ",Table13[[#This Row],[Site]])</f>
        <v>var jsTA112 = document.getElementbyId('TA112').innerHTML; //  Veterans Affairs Life Insurance</v>
      </c>
      <c r="P113" s="17">
        <f ca="1">CONCATENATE("        &lt;!--",A113," - ",C113," --&gt;&lt;div class='column catAll",IF(I113="X"," catArmySites",""),IF(J113="X"," catCombatReadiness",""),IF(K113="X"," catDod",""),IF(M113="X"," catFamily",""),IF(N113="X"," catFinance",""),IF(O113="X"," catHealth",""),IF(P113="X"," catHuman",""),IF(Q113="X"," catLegal",""),IF(R113="X"," catProDev",""),IF(S113="X"," catTech",""),IF(T113="X"," catMilEd",""),IF(U113="X"," catCivEd",""),IF(V113="X"," catUsGov",""),"' style='margin-bottom: 0px;' id='",F113,"'&gt;&lt;a href='",C113,"' rel='noopener noreferrer' class='column hideMarquee'&gt;&lt;div class='armyCardContainer card'&gt;&lt;div class='armyCard'&gt;&lt;div&gt;&lt;p class='marquee'&gt;",D113,"&lt;/p&gt;",IF(H113="Yes","&lt;img src='assets/CaCRequired.png' title='A CAC is required to use some or all features of this site!' Class='cacLocked'&gt;",""),IF(G113="Yes","&lt;img src='assets/DODlock.png' title='This Site requires a DoD network connection to be used!' Class='dodLocked'&gt;",""),"&lt;img src='assets/",#REF!,"' class='cardImage' loading='lazy'&gt;&lt;/div&gt;&lt;div class='title'&gt;&lt;span&gt;",A113,"&lt;/span&gt;&lt;/div&gt;&lt;/div&gt;&lt;/div&gt;&lt;/a&gt;&lt;/div&gt;&lt;script&gt;var js",F113," = document.getElementById('",F113,"').innerHTML;&lt;/script&gt;")</f>
        <v>0</v>
      </c>
      <c r="Q113" s="17" t="str">
        <f t="shared" si="3"/>
        <v xml:space="preserve">    &lt;details class='noSpacing'&gt;&lt;!-- Veterans Affairs Life Insurance - https://www.benefits.va.gov/insurance --&gt;
      &lt;summary&gt;• &lt;a href='https://www.benefits.va.gov/insurance' rel='noopener noreferrer'&gt;Veterans Affairs Life Insurance - https://www.benefits.va.gov/insurance&lt;/a&gt;&lt;/summary&gt;
      &lt;p&gt;&lt;/p&gt;
    &lt;/details&gt;</v>
      </c>
      <c r="R113" s="17" t="e">
        <f>CONCATENATE("          &lt;!-- ",#REF!," - ",#REF!," --&gt;&lt;div id='drag",#REF!,"' class='catAll",IF(#REF!="X"," catArmySites",""),IF(A113="X"," catCombatReadiness",""),IF(B113="X"," catDod",""),IF(C113="X"," catFamily",""),IF(#REF!="X"," catFinance",""),IF(D113="X"," catHealth",""),IF(F113="X"," catHuman",""),IF(G113="X"," catLegal",""),IF(H113="X"," catProDev",""),IF(I113="X"," catTech",""),IF(J113="X"," catMilEd",""),IF(K113="X"," catCivEd",""),IF(M113="X","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3" s="17" t="e">
        <f>CONCATENATE("var js",#REF!," = document.getElementbyId('drag",#REF!,"').innerHTML; //  ",#REF!)</f>
        <v>#REF!</v>
      </c>
    </row>
    <row r="114" spans="1:19" x14ac:dyDescent="0.25">
      <c r="A114" s="19" t="s">
        <v>1155</v>
      </c>
      <c r="B114" s="19"/>
      <c r="C114" s="18" t="s">
        <v>1154</v>
      </c>
      <c r="E114" s="17" t="s">
        <v>639</v>
      </c>
      <c r="F114" s="17" t="s">
        <v>1153</v>
      </c>
      <c r="G114" s="17" t="s">
        <v>480</v>
      </c>
      <c r="I114" s="17" t="s">
        <v>480</v>
      </c>
      <c r="N114" s="17" t="s">
        <v>480</v>
      </c>
      <c r="O114" s="17" t="str">
        <f>CONCATENATE("var js",Table13[[#This Row],[ID]]," = document.getElementbyId('",Table13[[#This Row],[ID]],"').innerHTML; //  ",Table13[[#This Row],[Site]])</f>
        <v>var jsTA113 = document.getElementbyId('TA113').innerHTML; //  Veterans Affairs Locator</v>
      </c>
      <c r="P114" s="17">
        <f ca="1">CONCATENATE("        &lt;!--",A114," - ",C114," --&gt;&lt;div class='column catAll",IF(I114="X"," catArmySites",""),IF(J114="X"," catCombatReadiness",""),IF(K114="X"," catDod",""),IF(M114="X"," catFamily",""),IF(N114="X"," catFinance",""),IF(O114="X"," catHealth",""),IF(P114="X"," catHuman",""),IF(Q114="X"," catLegal",""),IF(R114="X"," catProDev",""),IF(S114="X"," catTech",""),IF(T114="X"," catMilEd",""),IF(U114="X"," catCivEd",""),IF(V114="X"," catUsGov",""),"' style='margin-bottom: 0px;' id='",F114,"'&gt;&lt;a href='",C114,"' rel='noopener noreferrer' class='column hideMarquee'&gt;&lt;div class='armyCardContainer card'&gt;&lt;div class='armyCard'&gt;&lt;div&gt;&lt;p class='marquee'&gt;",D114,"&lt;/p&gt;",IF(H114="Yes","&lt;img src='assets/CaCRequired.png' title='A CAC is required to use some or all features of this site!' Class='cacLocked'&gt;",""),IF(G114="Yes","&lt;img src='assets/DODlock.png' title='This Site requires a DoD network connection to be used!' Class='dodLocked'&gt;",""),"&lt;img src='assets/",#REF!,"' class='cardImage' loading='lazy'&gt;&lt;/div&gt;&lt;div class='title'&gt;&lt;span&gt;",A114,"&lt;/span&gt;&lt;/div&gt;&lt;/div&gt;&lt;/div&gt;&lt;/a&gt;&lt;/div&gt;&lt;script&gt;var js",F114," = document.getElementById('",F114,"').innerHTML;&lt;/script&gt;")</f>
        <v>0</v>
      </c>
      <c r="Q114" s="17" t="str">
        <f t="shared" si="3"/>
        <v xml:space="preserve">    &lt;details class='noSpacing'&gt;&lt;!-- Veterans Affairs Locator - https://www.va.gov/find-locations --&gt;
      &lt;summary&gt;• &lt;a href='https://www.va.gov/find-locations' rel='noopener noreferrer'&gt;Veterans Affairs Locator - https://www.va.gov/find-locations&lt;/a&gt;&lt;/summary&gt;
      &lt;p&gt;&lt;/p&gt;
    &lt;/details&gt;</v>
      </c>
      <c r="R114" s="17" t="e">
        <f>CONCATENATE("          &lt;!-- ",#REF!," - ",#REF!," --&gt;&lt;div id='drag",#REF!,"' class='catAll",IF(#REF!="X"," catArmySites",""),IF(A114="X"," catCombatReadiness",""),IF(B114="X"," catDod",""),IF(C114="X"," catFamily",""),IF(#REF!="X"," catFinance",""),IF(D114="X"," catHealth",""),IF(F114="X"," catHuman",""),IF(G114="X"," catLegal",""),IF(H114="X"," catProDev",""),IF(I114="X"," catTech",""),IF(J114="X"," catMilEd",""),IF(K114="X"," catCivEd",""),IF(M114="X","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4" s="17" t="e">
        <f>CONCATENATE("var js",#REF!," = document.getElementbyId('drag",#REF!,"').innerHTML; //  ",#REF!)</f>
        <v>#REF!</v>
      </c>
    </row>
    <row r="115" spans="1:19" x14ac:dyDescent="0.25">
      <c r="A115" s="19" t="s">
        <v>1152</v>
      </c>
      <c r="B115" s="19"/>
      <c r="C115" s="18" t="s">
        <v>1151</v>
      </c>
      <c r="E115" s="17" t="s">
        <v>639</v>
      </c>
      <c r="F115" s="17" t="s">
        <v>1150</v>
      </c>
      <c r="I115" s="17" t="s">
        <v>480</v>
      </c>
      <c r="J115" s="17" t="s">
        <v>480</v>
      </c>
      <c r="O115" s="17" t="str">
        <f>CONCATENATE("var js",Table13[[#This Row],[ID]]," = document.getElementbyId('",Table13[[#This Row],[ID]],"').innerHTML; //  ",Table13[[#This Row],[Site]])</f>
        <v>var jsTA114 = document.getElementbyId('TA114').innerHTML; //  Veterans Benefits Administration - Careers</v>
      </c>
      <c r="P115" s="17">
        <f ca="1">CONCATENATE("        &lt;!--",A115," - ",C115," --&gt;&lt;div class='column catAll",IF(I115="X"," catArmySites",""),IF(J115="X"," catCombatReadiness",""),IF(K115="X"," catDod",""),IF(M115="X"," catFamily",""),IF(N115="X"," catFinance",""),IF(O115="X"," catHealth",""),IF(P115="X"," catHuman",""),IF(Q115="X"," catLegal",""),IF(R115="X"," catProDev",""),IF(S115="X"," catTech",""),IF(T115="X"," catMilEd",""),IF(U115="X"," catCivEd",""),IF(V115="X"," catUsGov",""),"' style='margin-bottom: 0px;' id='",F115,"'&gt;&lt;a href='",C115,"' rel='noopener noreferrer' class='column hideMarquee'&gt;&lt;div class='armyCardContainer card'&gt;&lt;div class='armyCard'&gt;&lt;div&gt;&lt;p class='marquee'&gt;",D115,"&lt;/p&gt;",IF(H115="Yes","&lt;img src='assets/CaCRequired.png' title='A CAC is required to use some or all features of this site!' Class='cacLocked'&gt;",""),IF(G115="Yes","&lt;img src='assets/DODlock.png' title='This Site requires a DoD network connection to be used!' Class='dodLocked'&gt;",""),"&lt;img src='assets/",#REF!,"' class='cardImage' loading='lazy'&gt;&lt;/div&gt;&lt;div class='title'&gt;&lt;span&gt;",A115,"&lt;/span&gt;&lt;/div&gt;&lt;/div&gt;&lt;/div&gt;&lt;/a&gt;&lt;/div&gt;&lt;script&gt;var js",F115," = document.getElementById('",F115,"').innerHTML;&lt;/script&gt;")</f>
        <v>0</v>
      </c>
      <c r="Q115" s="17" t="str">
        <f t="shared" si="3"/>
        <v xml:space="preserve">    &lt;details class='noSpacing'&gt;&lt;!-- Veterans Benefits Administration - Careers - https://benefits.va.gov/benefits/jobs --&gt;
      &lt;summary&gt;• &lt;a href='https://benefits.va.gov/benefits/jobs' rel='noopener noreferrer'&gt;Veterans Benefits Administration - Careers - https://benefits.va.gov/benefits/jobs&lt;/a&gt;&lt;/summary&gt;
      &lt;p&gt;&lt;/p&gt;
    &lt;/details&gt;</v>
      </c>
      <c r="R115" s="17" t="e">
        <f>CONCATENATE("          &lt;!-- ",#REF!," - ",#REF!," --&gt;&lt;div id='drag",#REF!,"' class='catAll",IF(#REF!="X"," catArmySites",""),IF(A115="X"," catCombatReadiness",""),IF(B115="X"," catDod",""),IF(C115="X"," catFamily",""),IF(#REF!="X"," catFinance",""),IF(D115="X"," catHealth",""),IF(F115="X"," catHuman",""),IF(G115="X"," catLegal",""),IF(H115="X"," catProDev",""),IF(I115="X"," catTech",""),IF(J115="X"," catMilEd",""),IF(K115="X"," catCivEd",""),IF(M115="X","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5" s="17" t="e">
        <f>CONCATENATE("var js",#REF!," = document.getElementbyId('drag",#REF!,"').innerHTML; //  ",#REF!)</f>
        <v>#REF!</v>
      </c>
    </row>
    <row r="116" spans="1:19" x14ac:dyDescent="0.25">
      <c r="A116" s="19" t="s">
        <v>1149</v>
      </c>
      <c r="B116" s="19"/>
      <c r="C116" s="18" t="s">
        <v>1148</v>
      </c>
      <c r="E116" s="17" t="s">
        <v>639</v>
      </c>
      <c r="F116" s="17" t="s">
        <v>1147</v>
      </c>
      <c r="I116" s="17" t="s">
        <v>480</v>
      </c>
      <c r="M116" s="17" t="s">
        <v>480</v>
      </c>
      <c r="O116" s="17" t="str">
        <f>CONCATENATE("var js",Table13[[#This Row],[ID]]," = document.getElementbyId('",Table13[[#This Row],[ID]],"').innerHTML; //  ",Table13[[#This Row],[Site]])</f>
        <v xml:space="preserve">var jsTA115 = document.getElementbyId('TA115').innerHTML; //  Veterans Benefits Banking Program (VBBP) </v>
      </c>
      <c r="P116" s="17">
        <f ca="1">CONCATENATE("        &lt;!--",A116," - ",C116," --&gt;&lt;div class='column catAll",IF(I116="X"," catArmySites",""),IF(J116="X"," catCombatReadiness",""),IF(K116="X"," catDod",""),IF(M116="X"," catFamily",""),IF(N116="X"," catFinance",""),IF(O116="X"," catHealth",""),IF(P116="X"," catHuman",""),IF(Q116="X"," catLegal",""),IF(R116="X"," catProDev",""),IF(S116="X"," catTech",""),IF(T116="X"," catMilEd",""),IF(U116="X"," catCivEd",""),IF(V116="X"," catUsGov",""),"' style='margin-bottom: 0px;' id='",F116,"'&gt;&lt;a href='",C116,"' rel='noopener noreferrer' class='column hideMarquee'&gt;&lt;div class='armyCardContainer card'&gt;&lt;div class='armyCard'&gt;&lt;div&gt;&lt;p class='marquee'&gt;",D116,"&lt;/p&gt;",IF(H116="Yes","&lt;img src='assets/CaCRequired.png' title='A CAC is required to use some or all features of this site!' Class='cacLocked'&gt;",""),IF(G116="Yes","&lt;img src='assets/DODlock.png' title='This Site requires a DoD network connection to be used!' Class='dodLocked'&gt;",""),"&lt;img src='assets/",#REF!,"' class='cardImage' loading='lazy'&gt;&lt;/div&gt;&lt;div class='title'&gt;&lt;span&gt;",A116,"&lt;/span&gt;&lt;/div&gt;&lt;/div&gt;&lt;/div&gt;&lt;/a&gt;&lt;/div&gt;&lt;script&gt;var js",F116," = document.getElementById('",F116,"').innerHTML;&lt;/script&gt;")</f>
        <v>0</v>
      </c>
      <c r="Q116" s="17" t="str">
        <f t="shared" si="3"/>
        <v xml:space="preserve">    &lt;details class='noSpacing'&gt;&lt;!-- Veterans Benefits Banking Program (VBBP)  - https://www.benefits.va.gov/benefits/banking.asp --&gt;
      &lt;summary&gt;• &lt;a href='https://www.benefits.va.gov/benefits/banking.asp' rel='noopener noreferrer'&gt;Veterans Benefits Banking Program (VBBP)  - https://www.benefits.va.gov/benefits/banking.asp&lt;/a&gt;&lt;/summary&gt;
      &lt;p&gt;&lt;/p&gt;
    &lt;/details&gt;</v>
      </c>
      <c r="R116" s="17" t="e">
        <f>CONCATENATE("          &lt;!-- ",#REF!," - ",#REF!," --&gt;&lt;div id='drag",#REF!,"' class='catAll",IF(#REF!="X"," catArmySites",""),IF(A116="X"," catCombatReadiness",""),IF(B116="X"," catDod",""),IF(C116="X"," catFamily",""),IF(#REF!="X"," catFinance",""),IF(D116="X"," catHealth",""),IF(F116="X"," catHuman",""),IF(G116="X"," catLegal",""),IF(H116="X"," catProDev",""),IF(I116="X"," catTech",""),IF(J116="X"," catMilEd",""),IF(K116="X"," catCivEd",""),IF(M116="X","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6" s="17" t="e">
        <f>CONCATENATE("var js",#REF!," = document.getElementbyId('drag",#REF!,"').innerHTML; //  ",#REF!)</f>
        <v>#REF!</v>
      </c>
    </row>
    <row r="117" spans="1:19" x14ac:dyDescent="0.25">
      <c r="A117" s="19" t="s">
        <v>1146</v>
      </c>
      <c r="B117" s="19"/>
      <c r="C117" s="18" t="s">
        <v>1145</v>
      </c>
      <c r="E117" s="17" t="s">
        <v>639</v>
      </c>
      <c r="F117" s="17" t="s">
        <v>1144</v>
      </c>
      <c r="G117" s="17" t="s">
        <v>480</v>
      </c>
      <c r="I117" s="17" t="s">
        <v>480</v>
      </c>
      <c r="O117" s="17" t="str">
        <f>CONCATENATE("var js",Table13[[#This Row],[ID]]," = document.getElementbyId('",Table13[[#This Row],[ID]],"').innerHTML; //  ",Table13[[#This Row],[Site]])</f>
        <v>var jsTA116 = document.getElementbyId('TA116').innerHTML; //  Veterans Canteen Service</v>
      </c>
      <c r="P117" s="17">
        <f ca="1">CONCATENATE("        &lt;!--",A117," - ",C117," --&gt;&lt;div class='column catAll",IF(I117="X"," catArmySites",""),IF(J117="X"," catCombatReadiness",""),IF(K117="X"," catDod",""),IF(M117="X"," catFamily",""),IF(N117="X"," catFinance",""),IF(O117="X"," catHealth",""),IF(P117="X"," catHuman",""),IF(Q117="X"," catLegal",""),IF(R117="X"," catProDev",""),IF(S117="X"," catTech",""),IF(T117="X"," catMilEd",""),IF(U117="X"," catCivEd",""),IF(V117="X"," catUsGov",""),"' style='margin-bottom: 0px;' id='",F117,"'&gt;&lt;a href='",C117,"' rel='noopener noreferrer' class='column hideMarquee'&gt;&lt;div class='armyCardContainer card'&gt;&lt;div class='armyCard'&gt;&lt;div&gt;&lt;p class='marquee'&gt;",D117,"&lt;/p&gt;",IF(H117="Yes","&lt;img src='assets/CaCRequired.png' title='A CAC is required to use some or all features of this site!' Class='cacLocked'&gt;",""),IF(G117="Yes","&lt;img src='assets/DODlock.png' title='This Site requires a DoD network connection to be used!' Class='dodLocked'&gt;",""),"&lt;img src='assets/",#REF!,"' class='cardImage' loading='lazy'&gt;&lt;/div&gt;&lt;div class='title'&gt;&lt;span&gt;",A117,"&lt;/span&gt;&lt;/div&gt;&lt;/div&gt;&lt;/div&gt;&lt;/a&gt;&lt;/div&gt;&lt;script&gt;var js",F117," = document.getElementById('",F117,"').innerHTML;&lt;/script&gt;")</f>
        <v>0</v>
      </c>
      <c r="Q117" s="17" t="str">
        <f t="shared" si="3"/>
        <v xml:space="preserve">    &lt;details class='noSpacing'&gt;&lt;!-- Veterans Canteen Service - https://shopvcs.va.gov --&gt;
      &lt;summary&gt;• &lt;a href='https://shopvcs.va.gov' rel='noopener noreferrer'&gt;Veterans Canteen Service - https://shopvcs.va.gov&lt;/a&gt;&lt;/summary&gt;
      &lt;p&gt;&lt;/p&gt;
    &lt;/details&gt;</v>
      </c>
      <c r="R117" s="17" t="e">
        <f>CONCATENATE("          &lt;!-- ",#REF!," - ",#REF!," --&gt;&lt;div id='drag",#REF!,"' class='catAll",IF(#REF!="X"," catArmySites",""),IF(A117="X"," catCombatReadiness",""),IF(B117="X"," catDod",""),IF(C117="X"," catFamily",""),IF(#REF!="X"," catFinance",""),IF(D117="X"," catHealth",""),IF(F117="X"," catHuman",""),IF(G117="X"," catLegal",""),IF(H117="X"," catProDev",""),IF(I117="X"," catTech",""),IF(J117="X"," catMilEd",""),IF(K117="X"," catCivEd",""),IF(M117="X","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7" s="17" t="e">
        <f>CONCATENATE("var js",#REF!," = document.getElementbyId('drag",#REF!,"').innerHTML; //  ",#REF!)</f>
        <v>#REF!</v>
      </c>
    </row>
    <row r="118" spans="1:19" x14ac:dyDescent="0.25">
      <c r="A118" s="19" t="s">
        <v>1143</v>
      </c>
      <c r="B118" s="19"/>
      <c r="C118" s="18" t="s">
        <v>1142</v>
      </c>
      <c r="D118" s="17" t="s">
        <v>1141</v>
      </c>
      <c r="E118" s="17" t="s">
        <v>639</v>
      </c>
      <c r="F118" s="17" t="s">
        <v>1140</v>
      </c>
      <c r="G118" s="17" t="s">
        <v>480</v>
      </c>
      <c r="O118" s="17" t="str">
        <f>CONCATENATE("var js",Table13[[#This Row],[ID]]," = document.getElementbyId('",Table13[[#This Row],[ID]],"').innerHTML; //  ",Table13[[#This Row],[Site]])</f>
        <v>var jsTA117 = document.getElementbyId('TA117').innerHTML; //  Veterans Crisis Hotline</v>
      </c>
      <c r="P118" s="17">
        <f ca="1">CONCATENATE("        &lt;!--",A118," - ",C118," --&gt;&lt;div class='column catAll",IF(I118="X"," catArmySites",""),IF(J118="X"," catCombatReadiness",""),IF(K118="X"," catDod",""),IF(M118="X"," catFamily",""),IF(N118="X"," catFinance",""),IF(O118="X"," catHealth",""),IF(P118="X"," catHuman",""),IF(Q118="X"," catLegal",""),IF(R118="X"," catProDev",""),IF(S118="X"," catTech",""),IF(T118="X"," catMilEd",""),IF(U118="X"," catCivEd",""),IF(V118="X"," catUsGov",""),"' style='margin-bottom: 0px;' id='",F118,"'&gt;&lt;a href='",C118,"' rel='noopener noreferrer' class='column hideMarquee'&gt;&lt;div class='armyCardContainer card'&gt;&lt;div class='armyCard'&gt;&lt;div&gt;&lt;p class='marquee'&gt;",D118,"&lt;/p&gt;",IF(H118="Yes","&lt;img src='assets/CaCRequired.png' title='A CAC is required to use some or all features of this site!' Class='cacLocked'&gt;",""),IF(G118="Yes","&lt;img src='assets/DODlock.png' title='This Site requires a DoD network connection to be used!' Class='dodLocked'&gt;",""),"&lt;img src='assets/",#REF!,"' class='cardImage' loading='lazy'&gt;&lt;/div&gt;&lt;div class='title'&gt;&lt;span&gt;",A118,"&lt;/span&gt;&lt;/div&gt;&lt;/div&gt;&lt;/div&gt;&lt;/a&gt;&lt;/div&gt;&lt;script&gt;var js",F118," = document.getElementById('",F118,"').innerHTML;&lt;/script&gt;")</f>
        <v>0</v>
      </c>
      <c r="Q118" s="17" t="str">
        <f t="shared" si="3"/>
        <v xml:space="preserve">    &lt;details class='noSpacing'&gt;&lt;!-- Veterans Crisis Hotline - https://www.veteranscrisisline.net --&gt;
      &lt;summary&gt;• &lt;a href='https://www.veteranscrisisline.net' rel='noopener noreferrer'&gt;Veterans Crisis Hotline - https://www.veteranscrisisline.net&lt;/a&gt;&lt;/summary&gt;
      &lt;p&gt;provides on-going support&lt;/p&gt;
    &lt;/details&gt;</v>
      </c>
      <c r="R118" s="17" t="e">
        <f>CONCATENATE("          &lt;!-- ",#REF!," - ",#REF!," --&gt;&lt;div id='drag",#REF!,"' class='catAll",IF(#REF!="X"," catArmySites",""),IF(A118="X"," catCombatReadiness",""),IF(B118="X"," catDod",""),IF(C118="X"," catFamily",""),IF(#REF!="X"," catFinance",""),IF(D118="X"," catHealth",""),IF(F118="X"," catHuman",""),IF(G118="X"," catLegal",""),IF(H118="X"," catProDev",""),IF(I118="X"," catTech",""),IF(J118="X"," catMilEd",""),IF(K118="X"," catCivEd",""),IF(M118="X","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8" s="17" t="e">
        <f>CONCATENATE("var js",#REF!," = document.getElementbyId('drag",#REF!,"').innerHTML; //  ",#REF!)</f>
        <v>#REF!</v>
      </c>
    </row>
    <row r="119" spans="1:19" x14ac:dyDescent="0.25">
      <c r="A119" s="19" t="s">
        <v>1139</v>
      </c>
      <c r="B119" s="19"/>
      <c r="C119" s="18" t="s">
        <v>1138</v>
      </c>
      <c r="E119" s="17" t="s">
        <v>639</v>
      </c>
      <c r="F119" s="17" t="s">
        <v>1137</v>
      </c>
      <c r="G119" s="17" t="s">
        <v>480</v>
      </c>
      <c r="O119" s="17" t="str">
        <f>CONCATENATE("var js",Table13[[#This Row],[ID]]," = document.getElementbyId('",Table13[[#This Row],[ID]],"').innerHTML; //  ",Table13[[#This Row],[Site]])</f>
        <v>var jsTA118 = document.getElementbyId('TA118').innerHTML; //  Veterans Crisis Hotline Local Resources</v>
      </c>
      <c r="P119" s="17">
        <f ca="1">CONCATENATE("        &lt;!--",A119," - ",C119," --&gt;&lt;div class='column catAll",IF(I119="X"," catArmySites",""),IF(J119="X"," catCombatReadiness",""),IF(K119="X"," catDod",""),IF(M119="X"," catFamily",""),IF(N119="X"," catFinance",""),IF(O119="X"," catHealth",""),IF(P119="X"," catHuman",""),IF(Q119="X"," catLegal",""),IF(R119="X"," catProDev",""),IF(S119="X"," catTech",""),IF(T119="X"," catMilEd",""),IF(U119="X"," catCivEd",""),IF(V119="X"," catUsGov",""),"' style='margin-bottom: 0px;' id='",F119,"'&gt;&lt;a href='",C119,"' rel='noopener noreferrer' class='column hideMarquee'&gt;&lt;div class='armyCardContainer card'&gt;&lt;div class='armyCard'&gt;&lt;div&gt;&lt;p class='marquee'&gt;",D119,"&lt;/p&gt;",IF(H119="Yes","&lt;img src='assets/CaCRequired.png' title='A CAC is required to use some or all features of this site!' Class='cacLocked'&gt;",""),IF(G119="Yes","&lt;img src='assets/DODlock.png' title='This Site requires a DoD network connection to be used!' Class='dodLocked'&gt;",""),"&lt;img src='assets/",#REF!,"' class='cardImage' loading='lazy'&gt;&lt;/div&gt;&lt;div class='title'&gt;&lt;span&gt;",A119,"&lt;/span&gt;&lt;/div&gt;&lt;/div&gt;&lt;/div&gt;&lt;/a&gt;&lt;/div&gt;&lt;script&gt;var js",F119," = document.getElementById('",F119,"').innerHTML;&lt;/script&gt;")</f>
        <v>0</v>
      </c>
      <c r="Q119" s="17" t="str">
        <f t="shared" si="3"/>
        <v xml:space="preserve">    &lt;details class='noSpacing'&gt;&lt;!-- Veterans Crisis Hotline Local Resources - https://www.veteranscrisisline.net/resourcelocator --&gt;
      &lt;summary&gt;• &lt;a href='https://www.veteranscrisisline.net/resourcelocator' rel='noopener noreferrer'&gt;Veterans Crisis Hotline Local Resources - https://www.veteranscrisisline.net/resourcelocator&lt;/a&gt;&lt;/summary&gt;
      &lt;p&gt;&lt;/p&gt;
    &lt;/details&gt;</v>
      </c>
      <c r="R119" s="17" t="e">
        <f>CONCATENATE("          &lt;!-- ",#REF!," - ",#REF!," --&gt;&lt;div id='drag",#REF!,"' class='catAll",IF(#REF!="X"," catArmySites",""),IF(A119="X"," catCombatReadiness",""),IF(B119="X"," catDod",""),IF(C119="X"," catFamily",""),IF(#REF!="X"," catFinance",""),IF(D119="X"," catHealth",""),IF(F119="X"," catHuman",""),IF(G119="X"," catLegal",""),IF(H119="X"," catProDev",""),IF(I119="X"," catTech",""),IF(J119="X"," catMilEd",""),IF(K119="X"," catCivEd",""),IF(M119="X","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19" s="17" t="e">
        <f>CONCATENATE("var js",#REF!," = document.getElementbyId('drag",#REF!,"').innerHTML; //  ",#REF!)</f>
        <v>#REF!</v>
      </c>
    </row>
    <row r="120" spans="1:19" x14ac:dyDescent="0.25">
      <c r="A120" s="19" t="s">
        <v>1136</v>
      </c>
      <c r="B120" s="19"/>
      <c r="C120" s="18" t="s">
        <v>1135</v>
      </c>
      <c r="E120" s="17" t="s">
        <v>639</v>
      </c>
      <c r="F120" s="17" t="s">
        <v>1134</v>
      </c>
      <c r="G120" s="17" t="s">
        <v>480</v>
      </c>
      <c r="I120" s="17" t="s">
        <v>480</v>
      </c>
      <c r="O120" s="17" t="str">
        <f>CONCATENATE("var js",Table13[[#This Row],[ID]]," = document.getElementbyId('",Table13[[#This Row],[ID]],"').innerHTML; //  ",Table13[[#This Row],[Site]])</f>
        <v>var jsTA119 = document.getElementbyId('TA119').innerHTML; //  Veterans Health Administration Patient Advocate</v>
      </c>
      <c r="P120" s="17">
        <f ca="1">CONCATENATE("        &lt;!--",A120," - ",C120," --&gt;&lt;div class='column catAll",IF(I120="X"," catArmySites",""),IF(J120="X"," catCombatReadiness",""),IF(K120="X"," catDod",""),IF(M120="X"," catFamily",""),IF(N120="X"," catFinance",""),IF(O120="X"," catHealth",""),IF(P120="X"," catHuman",""),IF(Q120="X"," catLegal",""),IF(R120="X"," catProDev",""),IF(S120="X"," catTech",""),IF(T120="X"," catMilEd",""),IF(U120="X"," catCivEd",""),IF(V120="X"," catUsGov",""),"' style='margin-bottom: 0px;' id='",F120,"'&gt;&lt;a href='",C120,"' rel='noopener noreferrer' class='column hideMarquee'&gt;&lt;div class='armyCardContainer card'&gt;&lt;div class='armyCard'&gt;&lt;div&gt;&lt;p class='marquee'&gt;",D120,"&lt;/p&gt;",IF(H120="Yes","&lt;img src='assets/CaCRequired.png' title='A CAC is required to use some or all features of this site!' Class='cacLocked'&gt;",""),IF(G120="Yes","&lt;img src='assets/DODlock.png' title='This Site requires a DoD network connection to be used!' Class='dodLocked'&gt;",""),"&lt;img src='assets/",#REF!,"' class='cardImage' loading='lazy'&gt;&lt;/div&gt;&lt;div class='title'&gt;&lt;span&gt;",A120,"&lt;/span&gt;&lt;/div&gt;&lt;/div&gt;&lt;/div&gt;&lt;/a&gt;&lt;/div&gt;&lt;script&gt;var js",F120," = document.getElementById('",F120,"').innerHTML;&lt;/script&gt;")</f>
        <v>0</v>
      </c>
      <c r="Q120" s="17" t="str">
        <f t="shared" si="3"/>
        <v xml:space="preserve">    &lt;details class='noSpacing'&gt;&lt;!-- Veterans Health Administration Patient Advocate - https://www.va.gov/health/patientadvocate --&gt;
      &lt;summary&gt;• &lt;a href='https://www.va.gov/health/patientadvocate' rel='noopener noreferrer'&gt;Veterans Health Administration Patient Advocate - https://www.va.gov/health/patientadvocate&lt;/a&gt;&lt;/summary&gt;
      &lt;p&gt;&lt;/p&gt;
    &lt;/details&gt;</v>
      </c>
      <c r="R120" s="17" t="e">
        <f>CONCATENATE("          &lt;!-- ",#REF!," - ",#REF!," --&gt;&lt;div id='drag",#REF!,"' class='catAll",IF(#REF!="X"," catArmySites",""),IF(A120="X"," catCombatReadiness",""),IF(B120="X"," catDod",""),IF(C120="X"," catFamily",""),IF(#REF!="X"," catFinance",""),IF(D120="X"," catHealth",""),IF(F120="X"," catHuman",""),IF(G120="X"," catLegal",""),IF(H120="X"," catProDev",""),IF(I120="X"," catTech",""),IF(J120="X"," catMilEd",""),IF(K120="X"," catCivEd",""),IF(M120="X","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0" s="17" t="e">
        <f>CONCATENATE("var js",#REF!," = document.getElementbyId('drag",#REF!,"').innerHTML; //  ",#REF!)</f>
        <v>#REF!</v>
      </c>
    </row>
    <row r="121" spans="1:19" x14ac:dyDescent="0.25">
      <c r="A121" s="19" t="s">
        <v>1133</v>
      </c>
      <c r="B121" s="19"/>
      <c r="C121" s="18" t="s">
        <v>1132</v>
      </c>
      <c r="E121" s="17" t="s">
        <v>639</v>
      </c>
      <c r="F121" s="17" t="s">
        <v>1131</v>
      </c>
      <c r="G121" s="17" t="s">
        <v>480</v>
      </c>
      <c r="I121" s="17" t="s">
        <v>480</v>
      </c>
      <c r="O121" s="17" t="str">
        <f>CONCATENATE("var js",Table13[[#This Row],[ID]]," = document.getElementbyId('",Table13[[#This Row],[ID]],"').innerHTML; //  ",Table13[[#This Row],[Site]])</f>
        <v>var jsTA120 = document.getElementbyId('TA120').innerHTML; //  Veterans Health Information Exchange (VHIE)</v>
      </c>
      <c r="P121" s="17">
        <f ca="1">CONCATENATE("        &lt;!--",A121," - ",C121," --&gt;&lt;div class='column catAll",IF(I121="X"," catArmySites",""),IF(J121="X"," catCombatReadiness",""),IF(K121="X"," catDod",""),IF(M121="X"," catFamily",""),IF(N121="X"," catFinance",""),IF(O121="X"," catHealth",""),IF(P121="X"," catHuman",""),IF(Q121="X"," catLegal",""),IF(R121="X"," catProDev",""),IF(S121="X"," catTech",""),IF(T121="X"," catMilEd",""),IF(U121="X"," catCivEd",""),IF(V121="X"," catUsGov",""),"' style='margin-bottom: 0px;' id='",F121,"'&gt;&lt;a href='",C121,"' rel='noopener noreferrer' class='column hideMarquee'&gt;&lt;div class='armyCardContainer card'&gt;&lt;div class='armyCard'&gt;&lt;div&gt;&lt;p class='marquee'&gt;",D121,"&lt;/p&gt;",IF(H121="Yes","&lt;img src='assets/CaCRequired.png' title='A CAC is required to use some or all features of this site!' Class='cacLocked'&gt;",""),IF(G121="Yes","&lt;img src='assets/DODlock.png' title='This Site requires a DoD network connection to be used!' Class='dodLocked'&gt;",""),"&lt;img src='assets/",#REF!,"' class='cardImage' loading='lazy'&gt;&lt;/div&gt;&lt;div class='title'&gt;&lt;span&gt;",A121,"&lt;/span&gt;&lt;/div&gt;&lt;/div&gt;&lt;/div&gt;&lt;/a&gt;&lt;/div&gt;&lt;script&gt;var js",F121," = document.getElementById('",F121,"').innerHTML;&lt;/script&gt;")</f>
        <v>0</v>
      </c>
      <c r="Q121" s="17" t="str">
        <f t="shared" si="3"/>
        <v xml:space="preserve">    &lt;details class='noSpacing'&gt;&lt;!-- Veterans Health Information Exchange (VHIE) - https://www.VA.gov/vhie --&gt;
      &lt;summary&gt;• &lt;a href='https://www.VA.gov/vhie' rel='noopener noreferrer'&gt;Veterans Health Information Exchange (VHIE) - https://www.VA.gov/vhie&lt;/a&gt;&lt;/summary&gt;
      &lt;p&gt;&lt;/p&gt;
    &lt;/details&gt;</v>
      </c>
      <c r="R121" s="17" t="e">
        <f>CONCATENATE("          &lt;!-- ",#REF!," - ",#REF!," --&gt;&lt;div id='drag",#REF!,"' class='catAll",IF(#REF!="X"," catArmySites",""),IF(A121="X"," catCombatReadiness",""),IF(B121="X"," catDod",""),IF(C121="X"," catFamily",""),IF(#REF!="X"," catFinance",""),IF(D121="X"," catHealth",""),IF(F121="X"," catHuman",""),IF(G121="X"," catLegal",""),IF(H121="X"," catProDev",""),IF(I121="X"," catTech",""),IF(J121="X"," catMilEd",""),IF(K121="X"," catCivEd",""),IF(M121="X","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1" s="17" t="e">
        <f>CONCATENATE("var js",#REF!," = document.getElementbyId('drag",#REF!,"').innerHTML; //  ",#REF!)</f>
        <v>#REF!</v>
      </c>
    </row>
    <row r="122" spans="1:19" x14ac:dyDescent="0.25">
      <c r="A122" s="17" t="s">
        <v>1130</v>
      </c>
      <c r="B122" s="19"/>
      <c r="C122" s="18" t="s">
        <v>1129</v>
      </c>
      <c r="E122" s="17" t="s">
        <v>639</v>
      </c>
      <c r="F122" s="17" t="s">
        <v>1128</v>
      </c>
      <c r="I122" s="17" t="s">
        <v>480</v>
      </c>
      <c r="K122" s="17" t="s">
        <v>480</v>
      </c>
      <c r="O122" s="17" t="str">
        <f>CONCATENATE("var js",Table13[[#This Row],[ID]]," = document.getElementbyId('",Table13[[#This Row],[ID]],"').innerHTML; //  ",Table13[[#This Row],[Site]])</f>
        <v>var jsTA121 = document.getElementbyId('TA121').innerHTML; //  Veterans Integration to Academic Leadership (VITAL)</v>
      </c>
      <c r="P122" s="17">
        <f ca="1">CONCATENATE("        &lt;!--",A122," - ",C122," --&gt;&lt;div class='column catAll",IF(I122="X"," catArmySites",""),IF(J122="X"," catCombatReadiness",""),IF(K122="X"," catDod",""),IF(M122="X"," catFamily",""),IF(N122="X"," catFinance",""),IF(O122="X"," catHealth",""),IF(P122="X"," catHuman",""),IF(Q122="X"," catLegal",""),IF(R122="X"," catProDev",""),IF(S122="X"," catTech",""),IF(T122="X"," catMilEd",""),IF(U122="X"," catCivEd",""),IF(V122="X"," catUsGov",""),"' style='margin-bottom: 0px;' id='",F122,"'&gt;&lt;a href='",C122,"' rel='noopener noreferrer' class='column hideMarquee'&gt;&lt;div class='armyCardContainer card'&gt;&lt;div class='armyCard'&gt;&lt;div&gt;&lt;p class='marquee'&gt;",D122,"&lt;/p&gt;",IF(H122="Yes","&lt;img src='assets/CaCRequired.png' title='A CAC is required to use some or all features of this site!' Class='cacLocked'&gt;",""),IF(G122="Yes","&lt;img src='assets/DODlock.png' title='This Site requires a DoD network connection to be used!' Class='dodLocked'&gt;",""),"&lt;img src='assets/",#REF!,"' class='cardImage' loading='lazy'&gt;&lt;/div&gt;&lt;div class='title'&gt;&lt;span&gt;",A122,"&lt;/span&gt;&lt;/div&gt;&lt;/div&gt;&lt;/div&gt;&lt;/a&gt;&lt;/div&gt;&lt;script&gt;var js",F122," = document.getElementById('",F122,"').innerHTML;&lt;/script&gt;")</f>
        <v>0</v>
      </c>
      <c r="Q122" s="17" t="str">
        <f t="shared" si="3"/>
        <v xml:space="preserve">    &lt;details class='noSpacing'&gt;&lt;!-- Veterans Integration to Academic Leadership (VITAL) - https://www.mentalhealth.va.gov/student-veteran/vital-program.asp --&gt;
      &lt;summary&gt;• &lt;a href='https://www.mentalhealth.va.gov/student-veteran/vital-program.asp' rel='noopener noreferrer'&gt;Veterans Integration to Academic Leadership (VITAL) - https://www.mentalhealth.va.gov/student-veteran/vital-program.asp&lt;/a&gt;&lt;/summary&gt;
      &lt;p&gt;&lt;/p&gt;
    &lt;/details&gt;</v>
      </c>
      <c r="R122" s="17" t="e">
        <f>CONCATENATE("          &lt;!-- ",#REF!," - ",#REF!," --&gt;&lt;div id='drag",#REF!,"' class='catAll",IF(#REF!="X"," catArmySites",""),IF(A122="X"," catCombatReadiness",""),IF(B122="X"," catDod",""),IF(C122="X"," catFamily",""),IF(#REF!="X"," catFinance",""),IF(D122="X"," catHealth",""),IF(F122="X"," catHuman",""),IF(G122="X"," catLegal",""),IF(H122="X"," catProDev",""),IF(I122="X"," catTech",""),IF(J122="X"," catMilEd",""),IF(K122="X"," catCivEd",""),IF(M122="X","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2" s="17" t="e">
        <f>CONCATENATE("var js",#REF!," = document.getElementbyId('drag",#REF!,"').innerHTML; //  ",#REF!)</f>
        <v>#REF!</v>
      </c>
    </row>
    <row r="123" spans="1:19" x14ac:dyDescent="0.25">
      <c r="A123" s="19" t="s">
        <v>1127</v>
      </c>
      <c r="B123" s="19"/>
      <c r="C123" s="18" t="s">
        <v>1126</v>
      </c>
      <c r="D123" s="17" t="s">
        <v>1125</v>
      </c>
      <c r="E123" s="17" t="s">
        <v>639</v>
      </c>
      <c r="F123" s="17" t="s">
        <v>1124</v>
      </c>
      <c r="G123" s="17" t="s">
        <v>480</v>
      </c>
      <c r="H123" s="17" t="s">
        <v>480</v>
      </c>
      <c r="I123" s="17" t="s">
        <v>480</v>
      </c>
      <c r="O123" s="17" t="str">
        <f>CONCATENATE("var js",Table13[[#This Row],[ID]]," = document.getElementbyId('",Table13[[#This Row],[ID]],"').innerHTML; //  ",Table13[[#This Row],[Site]])</f>
        <v>var jsTA122 = document.getElementbyId('TA122').innerHTML; //  Veterans Justice Outreach Program</v>
      </c>
      <c r="P123" s="17">
        <f ca="1">CONCATENATE("        &lt;!--",A123," - ",C123," --&gt;&lt;div class='column catAll",IF(I123="X"," catArmySites",""),IF(J123="X"," catCombatReadiness",""),IF(K123="X"," catDod",""),IF(M123="X"," catFamily",""),IF(N123="X"," catFinance",""),IF(O123="X"," catHealth",""),IF(P123="X"," catHuman",""),IF(Q123="X"," catLegal",""),IF(R123="X"," catProDev",""),IF(S123="X"," catTech",""),IF(T123="X"," catMilEd",""),IF(U123="X"," catCivEd",""),IF(V123="X"," catUsGov",""),"' style='margin-bottom: 0px;' id='",F123,"'&gt;&lt;a href='",C123,"' rel='noopener noreferrer' class='column hideMarquee'&gt;&lt;div class='armyCardContainer card'&gt;&lt;div class='armyCard'&gt;&lt;div&gt;&lt;p class='marquee'&gt;",D123,"&lt;/p&gt;",IF(H123="Yes","&lt;img src='assets/CaCRequired.png' title='A CAC is required to use some or all features of this site!' Class='cacLocked'&gt;",""),IF(G123="Yes","&lt;img src='assets/DODlock.png' title='This Site requires a DoD network connection to be used!' Class='dodLocked'&gt;",""),"&lt;img src='assets/",#REF!,"' class='cardImage' loading='lazy'&gt;&lt;/div&gt;&lt;div class='title'&gt;&lt;span&gt;",A123,"&lt;/span&gt;&lt;/div&gt;&lt;/div&gt;&lt;/div&gt;&lt;/a&gt;&lt;/div&gt;&lt;script&gt;var js",F123," = document.getElementById('",F123,"').innerHTML;&lt;/script&gt;")</f>
        <v>0</v>
      </c>
      <c r="Q123" s="17" t="str">
        <f t="shared" si="3"/>
        <v xml:space="preserve">    &lt;details class='noSpacing'&gt;&lt;!-- Veterans Justice Outreach Program - https://www.VA.gov/homeless/vjo.asp --&gt;
      &lt;summary&gt;• &lt;a href='https://www.VA.gov/homeless/vjo.asp' rel='noopener noreferrer'&gt;Veterans Justice Outreach Program - https://www.VA.gov/homeless/vjo.asp&lt;/a&gt;&lt;/summary&gt;
      &lt;p&gt;Help justice invovled veterans to access VA programs and services and re-engage after incarceration&lt;/p&gt;
    &lt;/details&gt;</v>
      </c>
      <c r="R123" s="17" t="e">
        <f>CONCATENATE("          &lt;!-- ",#REF!," - ",#REF!," --&gt;&lt;div id='drag",#REF!,"' class='catAll",IF(#REF!="X"," catArmySites",""),IF(A123="X"," catCombatReadiness",""),IF(B123="X"," catDod",""),IF(C123="X"," catFamily",""),IF(#REF!="X"," catFinance",""),IF(D123="X"," catHealth",""),IF(F123="X"," catHuman",""),IF(G123="X"," catLegal",""),IF(H123="X"," catProDev",""),IF(I123="X"," catTech",""),IF(J123="X"," catMilEd",""),IF(K123="X"," catCivEd",""),IF(M123="X","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3" s="17" t="e">
        <f>CONCATENATE("var js",#REF!," = document.getElementbyId('drag",#REF!,"').innerHTML; //  ",#REF!)</f>
        <v>#REF!</v>
      </c>
    </row>
    <row r="124" spans="1:19" x14ac:dyDescent="0.25">
      <c r="A124" s="19" t="s">
        <v>1123</v>
      </c>
      <c r="B124" s="19"/>
      <c r="C124" s="18" t="s">
        <v>1122</v>
      </c>
      <c r="E124" s="17" t="s">
        <v>639</v>
      </c>
      <c r="F124" s="17" t="s">
        <v>1121</v>
      </c>
      <c r="I124" s="17" t="s">
        <v>480</v>
      </c>
      <c r="M124" s="17" t="s">
        <v>480</v>
      </c>
      <c r="O124" s="17" t="str">
        <f>CONCATENATE("var js",Table13[[#This Row],[ID]]," = document.getElementbyId('",Table13[[#This Row],[ID]],"').innerHTML; //  ",Table13[[#This Row],[Site]])</f>
        <v>var jsTA123 = document.getElementbyId('TA123').innerHTML; //  Veterans Legacy Memorial Locator</v>
      </c>
      <c r="P124" s="17">
        <f ca="1">CONCATENATE("        &lt;!--",A124," - ",C124," --&gt;&lt;div class='column catAll",IF(I124="X"," catArmySites",""),IF(J124="X"," catCombatReadiness",""),IF(K124="X"," catDod",""),IF(M124="X"," catFamily",""),IF(N124="X"," catFinance",""),IF(O124="X"," catHealth",""),IF(P124="X"," catHuman",""),IF(Q124="X"," catLegal",""),IF(R124="X"," catProDev",""),IF(S124="X"," catTech",""),IF(T124="X"," catMilEd",""),IF(U124="X"," catCivEd",""),IF(V124="X"," catUsGov",""),"' style='margin-bottom: 0px;' id='",F124,"'&gt;&lt;a href='",C124,"' rel='noopener noreferrer' class='column hideMarquee'&gt;&lt;div class='armyCardContainer card'&gt;&lt;div class='armyCard'&gt;&lt;div&gt;&lt;p class='marquee'&gt;",D124,"&lt;/p&gt;",IF(H124="Yes","&lt;img src='assets/CaCRequired.png' title='A CAC is required to use some or all features of this site!' Class='cacLocked'&gt;",""),IF(G124="Yes","&lt;img src='assets/DODlock.png' title='This Site requires a DoD network connection to be used!' Class='dodLocked'&gt;",""),"&lt;img src='assets/",#REF!,"' class='cardImage' loading='lazy'&gt;&lt;/div&gt;&lt;div class='title'&gt;&lt;span&gt;",A124,"&lt;/span&gt;&lt;/div&gt;&lt;/div&gt;&lt;/div&gt;&lt;/a&gt;&lt;/div&gt;&lt;script&gt;var js",F124," = document.getElementById('",F124,"').innerHTML;&lt;/script&gt;")</f>
        <v>0</v>
      </c>
      <c r="Q124" s="17" t="str">
        <f t="shared" si="3"/>
        <v xml:space="preserve">    &lt;details class='noSpacing'&gt;&lt;!-- Veterans Legacy Memorial Locator - https://www.va.gov/remember --&gt;
      &lt;summary&gt;• &lt;a href='https://www.va.gov/remember' rel='noopener noreferrer'&gt;Veterans Legacy Memorial Locator - https://www.va.gov/remember&lt;/a&gt;&lt;/summary&gt;
      &lt;p&gt;&lt;/p&gt;
    &lt;/details&gt;</v>
      </c>
      <c r="R124" s="17" t="e">
        <f>CONCATENATE("          &lt;!-- ",#REF!," - ",#REF!," --&gt;&lt;div id='drag",#REF!,"' class='catAll",IF(#REF!="X"," catArmySites",""),IF(A124="X"," catCombatReadiness",""),IF(B124="X"," catDod",""),IF(C124="X"," catFamily",""),IF(#REF!="X"," catFinance",""),IF(D124="X"," catHealth",""),IF(F124="X"," catHuman",""),IF(G124="X"," catLegal",""),IF(H124="X"," catProDev",""),IF(I124="X"," catTech",""),IF(J124="X"," catMilEd",""),IF(K124="X"," catCivEd",""),IF(M124="X","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4" s="17" t="e">
        <f>CONCATENATE("var js",#REF!," = document.getElementbyId('drag",#REF!,"').innerHTML; //  ",#REF!)</f>
        <v>#REF!</v>
      </c>
    </row>
    <row r="125" spans="1:19" x14ac:dyDescent="0.25">
      <c r="A125" s="19" t="s">
        <v>1120</v>
      </c>
      <c r="B125" s="19"/>
      <c r="C125" s="18" t="s">
        <v>1119</v>
      </c>
      <c r="E125" s="17" t="s">
        <v>639</v>
      </c>
      <c r="F125" s="17" t="s">
        <v>1118</v>
      </c>
      <c r="I125" s="17" t="s">
        <v>480</v>
      </c>
      <c r="M125" s="17" t="s">
        <v>480</v>
      </c>
      <c r="O125" s="17" t="str">
        <f>CONCATENATE("var js",Table13[[#This Row],[ID]]," = document.getElementbyId('",Table13[[#This Row],[ID]],"').innerHTML; //  ",Table13[[#This Row],[Site]])</f>
        <v>var jsTA124 = document.getElementbyId('TA124').innerHTML; //  Veterans Legacy Program (VLP)</v>
      </c>
      <c r="P125" s="17">
        <f ca="1">CONCATENATE("        &lt;!--",A125," - ",C125," --&gt;&lt;div class='column catAll",IF(I125="X"," catArmySites",""),IF(J125="X"," catCombatReadiness",""),IF(K125="X"," catDod",""),IF(M125="X"," catFamily",""),IF(N125="X"," catFinance",""),IF(O125="X"," catHealth",""),IF(P125="X"," catHuman",""),IF(Q125="X"," catLegal",""),IF(R125="X"," catProDev",""),IF(S125="X"," catTech",""),IF(T125="X"," catMilEd",""),IF(U125="X"," catCivEd",""),IF(V125="X"," catUsGov",""),"' style='margin-bottom: 0px;' id='",F125,"'&gt;&lt;a href='",C125,"' rel='noopener noreferrer' class='column hideMarquee'&gt;&lt;div class='armyCardContainer card'&gt;&lt;div class='armyCard'&gt;&lt;div&gt;&lt;p class='marquee'&gt;",D125,"&lt;/p&gt;",IF(H125="Yes","&lt;img src='assets/CaCRequired.png' title='A CAC is required to use some or all features of this site!' Class='cacLocked'&gt;",""),IF(G125="Yes","&lt;img src='assets/DODlock.png' title='This Site requires a DoD network connection to be used!' Class='dodLocked'&gt;",""),"&lt;img src='assets/",#REF!,"' class='cardImage' loading='lazy'&gt;&lt;/div&gt;&lt;div class='title'&gt;&lt;span&gt;",A125,"&lt;/span&gt;&lt;/div&gt;&lt;/div&gt;&lt;/div&gt;&lt;/a&gt;&lt;/div&gt;&lt;script&gt;var js",F125," = document.getElementById('",F125,"').innerHTML;&lt;/script&gt;")</f>
        <v>0</v>
      </c>
      <c r="Q125" s="17" t="str">
        <f t="shared" si="3"/>
        <v xml:space="preserve">    &lt;details class='noSpacing'&gt;&lt;!-- Veterans Legacy Program (VLP) - https://www.cem.va.gov/legacy --&gt;
      &lt;summary&gt;• &lt;a href='https://www.cem.va.gov/legacy' rel='noopener noreferrer'&gt;Veterans Legacy Program (VLP) - https://www.cem.va.gov/legacy&lt;/a&gt;&lt;/summary&gt;
      &lt;p&gt;&lt;/p&gt;
    &lt;/details&gt;</v>
      </c>
      <c r="R125" s="17" t="e">
        <f>CONCATENATE("          &lt;!-- ",#REF!," - ",#REF!," --&gt;&lt;div id='drag",#REF!,"' class='catAll",IF(#REF!="X"," catArmySites",""),IF(A125="X"," catCombatReadiness",""),IF(B125="X"," catDod",""),IF(C125="X"," catFamily",""),IF(#REF!="X"," catFinance",""),IF(D125="X"," catHealth",""),IF(F125="X"," catHuman",""),IF(G125="X"," catLegal",""),IF(H125="X"," catProDev",""),IF(I125="X"," catTech",""),IF(J125="X"," catMilEd",""),IF(K125="X"," catCivEd",""),IF(M125="X","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5" s="17" t="e">
        <f>CONCATENATE("var js",#REF!," = document.getElementbyId('drag",#REF!,"').innerHTML; //  ",#REF!)</f>
        <v>#REF!</v>
      </c>
    </row>
    <row r="126" spans="1:19" x14ac:dyDescent="0.25">
      <c r="A126" s="19" t="s">
        <v>1117</v>
      </c>
      <c r="B126" s="19"/>
      <c r="C126" s="18" t="s">
        <v>1116</v>
      </c>
      <c r="E126" s="17" t="s">
        <v>639</v>
      </c>
      <c r="F126" s="17" t="s">
        <v>1115</v>
      </c>
      <c r="I126" s="17" t="s">
        <v>480</v>
      </c>
      <c r="K126" s="17" t="s">
        <v>480</v>
      </c>
      <c r="O126" s="17" t="str">
        <f>CONCATENATE("var js",Table13[[#This Row],[ID]]," = document.getElementbyId('",Table13[[#This Row],[ID]],"').innerHTML; //  ",Table13[[#This Row],[Site]])</f>
        <v>var jsTA125 = document.getElementbyId('TA125').innerHTML; //  Veterans technology education courses</v>
      </c>
      <c r="P126" s="17">
        <f ca="1">CONCATENATE("        &lt;!--",A126," - ",C126," --&gt;&lt;div class='column catAll",IF(I126="X"," catArmySites",""),IF(J126="X"," catCombatReadiness",""),IF(K126="X"," catDod",""),IF(M126="X"," catFamily",""),IF(N126="X"," catFinance",""),IF(O126="X"," catHealth",""),IF(P126="X"," catHuman",""),IF(Q126="X"," catLegal",""),IF(R126="X"," catProDev",""),IF(S126="X"," catTech",""),IF(T126="X"," catMilEd",""),IF(U126="X"," catCivEd",""),IF(V126="X"," catUsGov",""),"' style='margin-bottom: 0px;' id='",F126,"'&gt;&lt;a href='",C126,"' rel='noopener noreferrer' class='column hideMarquee'&gt;&lt;div class='armyCardContainer card'&gt;&lt;div class='armyCard'&gt;&lt;div&gt;&lt;p class='marquee'&gt;",D126,"&lt;/p&gt;",IF(H126="Yes","&lt;img src='assets/CaCRequired.png' title='A CAC is required to use some or all features of this site!' Class='cacLocked'&gt;",""),IF(G126="Yes","&lt;img src='assets/DODlock.png' title='This Site requires a DoD network connection to be used!' Class='dodLocked'&gt;",""),"&lt;img src='assets/",#REF!,"' class='cardImage' loading='lazy'&gt;&lt;/div&gt;&lt;div class='title'&gt;&lt;span&gt;",A126,"&lt;/span&gt;&lt;/div&gt;&lt;/div&gt;&lt;/div&gt;&lt;/a&gt;&lt;/div&gt;&lt;script&gt;var js",F126," = document.getElementById('",F126,"').innerHTML;&lt;/script&gt;")</f>
        <v>0</v>
      </c>
      <c r="Q126" s="17" t="str">
        <f t="shared" si="3"/>
        <v xml:space="preserve">    &lt;details class='noSpacing'&gt;&lt;!-- Veterans technology education courses - https://www.va.gov/education/about-gi-bill-benefits/how-to-use-benefits/vettec-high-tech-program --&gt;
      &lt;summary&gt;• &lt;a href='https://www.va.gov/education/about-gi-bill-benefits/how-to-use-benefits/vettec-high-tech-program' rel='noopener noreferrer'&gt;Veterans technology education courses - https://www.va.gov/education/about-gi-bill-benefits/how-to-use-benefits/vettec-high-tech-program&lt;/a&gt;&lt;/summary&gt;
      &lt;p&gt;&lt;/p&gt;
    &lt;/details&gt;</v>
      </c>
      <c r="R126" s="17" t="e">
        <f>CONCATENATE("          &lt;!-- ",#REF!," - ",#REF!," --&gt;&lt;div id='drag",#REF!,"' class='catAll",IF(#REF!="X"," catArmySites",""),IF(A126="X"," catCombatReadiness",""),IF(B126="X"," catDod",""),IF(C126="X"," catFamily",""),IF(#REF!="X"," catFinance",""),IF(D126="X"," catHealth",""),IF(F126="X"," catHuman",""),IF(G126="X"," catLegal",""),IF(H126="X"," catProDev",""),IF(I126="X"," catTech",""),IF(J126="X"," catMilEd",""),IF(K126="X"," catCivEd",""),IF(M126="X","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6" s="17" t="e">
        <f>CONCATENATE("var js",#REF!," = document.getElementbyId('drag",#REF!,"').innerHTML; //  ",#REF!)</f>
        <v>#REF!</v>
      </c>
    </row>
    <row r="127" spans="1:19" x14ac:dyDescent="0.25">
      <c r="A127" s="19" t="s">
        <v>1114</v>
      </c>
      <c r="B127" s="19"/>
      <c r="C127" s="18" t="s">
        <v>1113</v>
      </c>
      <c r="E127" s="17" t="s">
        <v>639</v>
      </c>
      <c r="F127" s="17" t="s">
        <v>1112</v>
      </c>
      <c r="I127" s="17" t="s">
        <v>480</v>
      </c>
      <c r="M127" s="17" t="s">
        <v>480</v>
      </c>
      <c r="O127" s="17" t="str">
        <f>CONCATENATE("var js",Table13[[#This Row],[ID]]," = document.getElementbyId('",Table13[[#This Row],[ID]],"').innerHTML; //  ",Table13[[#This Row],[Site]])</f>
        <v>var jsTA126 = document.getElementbyId('TA126').innerHTML; //  Veterans’ Group Life Insurance (VGLI)</v>
      </c>
      <c r="P127" s="17">
        <f ca="1">CONCATENATE("        &lt;!--",A127," - ",C127," --&gt;&lt;div class='column catAll",IF(I127="X"," catArmySites",""),IF(J127="X"," catCombatReadiness",""),IF(K127="X"," catDod",""),IF(M127="X"," catFamily",""),IF(N127="X"," catFinance",""),IF(O127="X"," catHealth",""),IF(P127="X"," catHuman",""),IF(Q127="X"," catLegal",""),IF(R127="X"," catProDev",""),IF(S127="X"," catTech",""),IF(T127="X"," catMilEd",""),IF(U127="X"," catCivEd",""),IF(V127="X"," catUsGov",""),"' style='margin-bottom: 0px;' id='",F127,"'&gt;&lt;a href='",C127,"' rel='noopener noreferrer' class='column hideMarquee'&gt;&lt;div class='armyCardContainer card'&gt;&lt;div class='armyCard'&gt;&lt;div&gt;&lt;p class='marquee'&gt;",D127,"&lt;/p&gt;",IF(H127="Yes","&lt;img src='assets/CaCRequired.png' title='A CAC is required to use some or all features of this site!' Class='cacLocked'&gt;",""),IF(G127="Yes","&lt;img src='assets/DODlock.png' title='This Site requires a DoD network connection to be used!' Class='dodLocked'&gt;",""),"&lt;img src='assets/",#REF!,"' class='cardImage' loading='lazy'&gt;&lt;/div&gt;&lt;div class='title'&gt;&lt;span&gt;",A127,"&lt;/span&gt;&lt;/div&gt;&lt;/div&gt;&lt;/div&gt;&lt;/a&gt;&lt;/div&gt;&lt;script&gt;var js",F127," = document.getElementById('",F127,"').innerHTML;&lt;/script&gt;")</f>
        <v>0</v>
      </c>
      <c r="Q127" s="17" t="str">
        <f t="shared" si="3"/>
        <v xml:space="preserve">    &lt;details class='noSpacing'&gt;&lt;!-- Veterans’ Group Life Insurance (VGLI) - https://www.va.gov/life-insurance/options-eligibility/vgli --&gt;
      &lt;summary&gt;• &lt;a href='https://www.va.gov/life-insurance/options-eligibility/vgli' rel='noopener noreferrer'&gt;Veterans’ Group Life Insurance (VGLI) - https://www.va.gov/life-insurance/options-eligibility/vgli&lt;/a&gt;&lt;/summary&gt;
      &lt;p&gt;&lt;/p&gt;
    &lt;/details&gt;</v>
      </c>
      <c r="R127" s="17" t="e">
        <f>CONCATENATE("          &lt;!-- ",#REF!," - ",#REF!," --&gt;&lt;div id='drag",#REF!,"' class='catAll",IF(#REF!="X"," catArmySites",""),IF(A127="X"," catCombatReadiness",""),IF(B127="X"," catDod",""),IF(C127="X"," catFamily",""),IF(#REF!="X"," catFinance",""),IF(D127="X"," catHealth",""),IF(F127="X"," catHuman",""),IF(G127="X"," catLegal",""),IF(H127="X"," catProDev",""),IF(I127="X"," catTech",""),IF(J127="X"," catMilEd",""),IF(K127="X"," catCivEd",""),IF(M127="X","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7" s="17" t="e">
        <f>CONCATENATE("var js",#REF!," = document.getElementbyId('drag",#REF!,"').innerHTML; //  ",#REF!)</f>
        <v>#REF!</v>
      </c>
    </row>
    <row r="128" spans="1:19" x14ac:dyDescent="0.25">
      <c r="A128" s="19" t="s">
        <v>1111</v>
      </c>
      <c r="B128" s="19"/>
      <c r="C128" s="18" t="s">
        <v>1110</v>
      </c>
      <c r="E128" s="17" t="s">
        <v>639</v>
      </c>
      <c r="F128" s="17" t="s">
        <v>1109</v>
      </c>
      <c r="H128" s="17" t="s">
        <v>18</v>
      </c>
      <c r="I128" s="17" t="s">
        <v>480</v>
      </c>
      <c r="O128" s="17" t="str">
        <f>CONCATENATE("var js",Table13[[#This Row],[ID]]," = document.getElementbyId('",Table13[[#This Row],[ID]],"').innerHTML; //  ",Table13[[#This Row],[Site]])</f>
        <v>var jsTA127 = document.getElementbyId('TA127').innerHTML; //  VHA National Food Security Office (FSO)</v>
      </c>
      <c r="P128" s="17">
        <f ca="1">CONCATENATE("        &lt;!--",A128," - ",C128," --&gt;&lt;div class='column catAll",IF(I128="X"," catArmySites",""),IF(J128="X"," catCombatReadiness",""),IF(K128="X"," catDod",""),IF(M128="X"," catFamily",""),IF(N128="X"," catFinance",""),IF(O128="X"," catHealth",""),IF(P128="X"," catHuman",""),IF(Q128="X"," catLegal",""),IF(R128="X"," catProDev",""),IF(S128="X"," catTech",""),IF(T128="X"," catMilEd",""),IF(U128="X"," catCivEd",""),IF(V128="X"," catUsGov",""),"' style='margin-bottom: 0px;' id='",F128,"'&gt;&lt;a href='",C128,"' rel='noopener noreferrer' class='column hideMarquee'&gt;&lt;div class='armyCardContainer card'&gt;&lt;div class='armyCard'&gt;&lt;div&gt;&lt;p class='marquee'&gt;",D128,"&lt;/p&gt;",IF(H128="Yes","&lt;img src='assets/CaCRequired.png' title='A CAC is required to use some or all features of this site!' Class='cacLocked'&gt;",""),IF(G128="Yes","&lt;img src='assets/DODlock.png' title='This Site requires a DoD network connection to be used!' Class='dodLocked'&gt;",""),"&lt;img src='assets/",#REF!,"' class='cardImage' loading='lazy'&gt;&lt;/div&gt;&lt;div class='title'&gt;&lt;span&gt;",A128,"&lt;/span&gt;&lt;/div&gt;&lt;/div&gt;&lt;/div&gt;&lt;/a&gt;&lt;/div&gt;&lt;script&gt;var js",F128," = document.getElementById('",F128,"').innerHTML;&lt;/script&gt;")</f>
        <v>0</v>
      </c>
      <c r="Q128" s="17" t="str">
        <f t="shared" si="3"/>
        <v xml:space="preserve">    &lt;details class='noSpacing'&gt;&lt;!-- VHA National Food Security Office (FSO) - https://www.nutrition.va.gov/Food_Insecurity.asp --&gt;
      &lt;summary&gt;• &lt;a href='https://www.nutrition.va.gov/Food_Insecurity.asp' rel='noopener noreferrer'&gt;VHA National Food Security Office (FSO) - https://www.nutrition.va.gov/Food_Insecurity.asp&lt;/a&gt;&lt;/summary&gt;
      &lt;p&gt;&lt;/p&gt;
    &lt;/details&gt;</v>
      </c>
      <c r="R128" s="17" t="e">
        <f>CONCATENATE("          &lt;!-- ",#REF!," - ",#REF!," --&gt;&lt;div id='drag",#REF!,"' class='catAll",IF(#REF!="X"," catArmySites",""),IF(A128="X"," catCombatReadiness",""),IF(B128="X"," catDod",""),IF(C128="X"," catFamily",""),IF(#REF!="X"," catFinance",""),IF(D128="X"," catHealth",""),IF(F128="X"," catHuman",""),IF(G128="X"," catLegal",""),IF(H128="X"," catProDev",""),IF(I128="X"," catTech",""),IF(J128="X"," catMilEd",""),IF(K128="X"," catCivEd",""),IF(M128="X","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8" s="17" t="e">
        <f>CONCATENATE("var js",#REF!," = document.getElementbyId('drag",#REF!,"').innerHTML; //  ",#REF!)</f>
        <v>#REF!</v>
      </c>
    </row>
    <row r="129" spans="1:19" x14ac:dyDescent="0.25">
      <c r="A129" s="19" t="s">
        <v>1108</v>
      </c>
      <c r="B129" s="19"/>
      <c r="C129" s="18" t="s">
        <v>1107</v>
      </c>
      <c r="E129" s="17" t="s">
        <v>639</v>
      </c>
      <c r="F129" s="17" t="s">
        <v>1106</v>
      </c>
      <c r="O129" s="17" t="str">
        <f>CONCATENATE("var js",Table13[[#This Row],[ID]]," = document.getElementbyId('",Table13[[#This Row],[ID]],"').innerHTML; //  ",Table13[[#This Row],[Site]])</f>
        <v>var jsTA128 = document.getElementbyId('TA128').innerHTML; //  Warrior Care Recovery Coordination Program</v>
      </c>
      <c r="P129" s="17">
        <f ca="1">CONCATENATE("        &lt;!--",A129," - ",C129," --&gt;&lt;div class='column catAll",IF(I129="X"," catArmySites",""),IF(J129="X"," catCombatReadiness",""),IF(K129="X"," catDod",""),IF(M129="X"," catFamily",""),IF(N129="X"," catFinance",""),IF(O129="X"," catHealth",""),IF(P129="X"," catHuman",""),IF(Q129="X"," catLegal",""),IF(R129="X"," catProDev",""),IF(S129="X"," catTech",""),IF(T129="X"," catMilEd",""),IF(U129="X"," catCivEd",""),IF(V129="X"," catUsGov",""),"' style='margin-bottom: 0px;' id='",F129,"'&gt;&lt;a href='",C129,"' rel='noopener noreferrer' class='column hideMarquee'&gt;&lt;div class='armyCardContainer card'&gt;&lt;div class='armyCard'&gt;&lt;div&gt;&lt;p class='marquee'&gt;",D129,"&lt;/p&gt;",IF(H129="Yes","&lt;img src='assets/CaCRequired.png' title='A CAC is required to use some or all features of this site!' Class='cacLocked'&gt;",""),IF(G129="Yes","&lt;img src='assets/DODlock.png' title='This Site requires a DoD network connection to be used!' Class='dodLocked'&gt;",""),"&lt;img src='assets/",#REF!,"' class='cardImage' loading='lazy'&gt;&lt;/div&gt;&lt;div class='title'&gt;&lt;span&gt;",A129,"&lt;/span&gt;&lt;/div&gt;&lt;/div&gt;&lt;/div&gt;&lt;/a&gt;&lt;/div&gt;&lt;script&gt;var js",F129," = document.getElementById('",F129,"').innerHTML;&lt;/script&gt;")</f>
        <v>0</v>
      </c>
      <c r="Q129" s="17" t="str">
        <f t="shared" si="3"/>
        <v xml:space="preserve">    &lt;details class='noSpacing'&gt;&lt;!-- Warrior Care Recovery Coordination Program - https://warriorcare.dodlive.mil/ --&gt;
      &lt;summary&gt;• &lt;a href='https://warriorcare.dodlive.mil/' rel='noopener noreferrer'&gt;Warrior Care Recovery Coordination Program - https://warriorcare.dodlive.mil/&lt;/a&gt;&lt;/summary&gt;
      &lt;p&gt;&lt;/p&gt;
    &lt;/details&gt;</v>
      </c>
      <c r="R129" s="17" t="e">
        <f>CONCATENATE("          &lt;!-- ",#REF!," - ",#REF!," --&gt;&lt;div id='drag",#REF!,"' class='catAll",IF(#REF!="X"," catArmySites",""),IF(A129="X"," catCombatReadiness",""),IF(B129="X"," catDod",""),IF(C129="X"," catFamily",""),IF(#REF!="X"," catFinance",""),IF(D129="X"," catHealth",""),IF(F129="X"," catHuman",""),IF(G129="X"," catLegal",""),IF(H129="X"," catProDev",""),IF(I129="X"," catTech",""),IF(J129="X"," catMilEd",""),IF(K129="X"," catCivEd",""),IF(M129="X","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29" s="17" t="e">
        <f>CONCATENATE("var js",#REF!," = document.getElementbyId('drag",#REF!,"').innerHTML; //  ",#REF!)</f>
        <v>#REF!</v>
      </c>
    </row>
    <row r="130" spans="1:19" x14ac:dyDescent="0.25">
      <c r="A130" s="19" t="s">
        <v>1105</v>
      </c>
      <c r="B130" s="19"/>
      <c r="C130" s="18" t="s">
        <v>1104</v>
      </c>
      <c r="E130" s="17" t="s">
        <v>639</v>
      </c>
      <c r="F130" s="17" t="s">
        <v>1103</v>
      </c>
      <c r="J130" s="17" t="s">
        <v>480</v>
      </c>
      <c r="O130" s="17" t="str">
        <f>CONCATENATE("var js",Table13[[#This Row],[ID]]," = document.getElementbyId('",Table13[[#This Row],[ID]],"').innerHTML; //  ",Table13[[#This Row],[Site]])</f>
        <v>var jsTA129 = document.getElementbyId('TA129').innerHTML; //  Warrior Care Recovery Coordination Program Benefits</v>
      </c>
      <c r="P130" s="17">
        <f ca="1">CONCATENATE("        &lt;!--",A130," - ",C130," --&gt;&lt;div class='column catAll",IF(I130="X"," catArmySites",""),IF(J130="X"," catCombatReadiness",""),IF(K130="X"," catDod",""),IF(M130="X"," catFamily",""),IF(N130="X"," catFinance",""),IF(O130="X"," catHealth",""),IF(P130="X"," catHuman",""),IF(Q130="X"," catLegal",""),IF(R130="X"," catProDev",""),IF(S130="X"," catTech",""),IF(T130="X"," catMilEd",""),IF(U130="X"," catCivEd",""),IF(V130="X"," catUsGov",""),"' style='margin-bottom: 0px;' id='",F130,"'&gt;&lt;a href='",C130,"' rel='noopener noreferrer' class='column hideMarquee'&gt;&lt;div class='armyCardContainer card'&gt;&lt;div class='armyCard'&gt;&lt;div&gt;&lt;p class='marquee'&gt;",D130,"&lt;/p&gt;",IF(H130="Yes","&lt;img src='assets/CaCRequired.png' title='A CAC is required to use some or all features of this site!' Class='cacLocked'&gt;",""),IF(G130="Yes","&lt;img src='assets/DODlock.png' title='This Site requires a DoD network connection to be used!' Class='dodLocked'&gt;",""),"&lt;img src='assets/",#REF!,"' class='cardImage' loading='lazy'&gt;&lt;/div&gt;&lt;div class='title'&gt;&lt;span&gt;",A130,"&lt;/span&gt;&lt;/div&gt;&lt;/div&gt;&lt;/div&gt;&lt;/a&gt;&lt;/div&gt;&lt;script&gt;var js",F130," = document.getElementById('",F130,"').innerHTML;&lt;/script&gt;")</f>
        <v>0</v>
      </c>
      <c r="Q130" s="17" t="str">
        <f t="shared" ref="Q130:Q143" si="4">CONCATENATE("    &lt;details class='noSpacing'&gt;&lt;!-- ",A130," - ",C130," --&gt;
      &lt;summary&gt;• &lt;a href='",C130,"' rel='noopener noreferrer'&gt;",A130," - ",C130,"&lt;/a&gt;&lt;/summary&gt;
      &lt;p&gt;",D130,"&lt;/p&gt;
    &lt;/details&gt;")</f>
        <v xml:space="preserve">    &lt;details class='noSpacing'&gt;&lt;!-- Warrior Care Recovery Coordination Program Benefits - https://warriorcare.dodlive.mil/benefits/compensation-and-benefits --&gt;
      &lt;summary&gt;• &lt;a href='https://warriorcare.dodlive.mil/benefits/compensation-and-benefits' rel='noopener noreferrer'&gt;Warrior Care Recovery Coordination Program Benefits - https://warriorcare.dodlive.mil/benefits/compensation-and-benefits&lt;/a&gt;&lt;/summary&gt;
      &lt;p&gt;&lt;/p&gt;
    &lt;/details&gt;</v>
      </c>
      <c r="R130" s="17" t="e">
        <f>CONCATENATE("          &lt;!-- ",#REF!," - ",#REF!," --&gt;&lt;div id='drag",#REF!,"' class='catAll",IF(#REF!="X"," catArmySites",""),IF(A130="X"," catCombatReadiness",""),IF(B130="X"," catDod",""),IF(C130="X"," catFamily",""),IF(#REF!="X"," catFinance",""),IF(D130="X"," catHealth",""),IF(F130="X"," catHuman",""),IF(G130="X"," catLegal",""),IF(H130="X"," catProDev",""),IF(I130="X"," catTech",""),IF(J130="X"," catMilEd",""),IF(K130="X"," catCivEd",""),IF(M130="X","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0" s="17" t="e">
        <f>CONCATENATE("var js",#REF!," = document.getElementbyId('drag",#REF!,"').innerHTML; //  ",#REF!)</f>
        <v>#REF!</v>
      </c>
    </row>
    <row r="131" spans="1:19" x14ac:dyDescent="0.25">
      <c r="A131" s="19" t="s">
        <v>1102</v>
      </c>
      <c r="B131" s="19"/>
      <c r="C131" s="18" t="s">
        <v>1101</v>
      </c>
      <c r="E131" s="17" t="s">
        <v>639</v>
      </c>
      <c r="F131" s="17" t="s">
        <v>1100</v>
      </c>
      <c r="G131" s="17" t="s">
        <v>480</v>
      </c>
      <c r="I131" s="17" t="s">
        <v>480</v>
      </c>
      <c r="O131" s="17" t="str">
        <f>CONCATENATE("var js",Table13[[#This Row],[ID]]," = document.getElementbyId('",Table13[[#This Row],[ID]],"').innerHTML; //  ",Table13[[#This Row],[Site]])</f>
        <v>var jsTA130 = document.getElementbyId('TA130').innerHTML; //  Whole Health</v>
      </c>
      <c r="P131" s="17">
        <f ca="1">CONCATENATE("        &lt;!--",A131," - ",C131," --&gt;&lt;div class='column catAll",IF(I131="X"," catArmySites",""),IF(J131="X"," catCombatReadiness",""),IF(K131="X"," catDod",""),IF(M131="X"," catFamily",""),IF(N131="X"," catFinance",""),IF(O131="X"," catHealth",""),IF(P131="X"," catHuman",""),IF(Q131="X"," catLegal",""),IF(R131="X"," catProDev",""),IF(S131="X"," catTech",""),IF(T131="X"," catMilEd",""),IF(U131="X"," catCivEd",""),IF(V131="X"," catUsGov",""),"' style='margin-bottom: 0px;' id='",F131,"'&gt;&lt;a href='",C131,"' rel='noopener noreferrer' class='column hideMarquee'&gt;&lt;div class='armyCardContainer card'&gt;&lt;div class='armyCard'&gt;&lt;div&gt;&lt;p class='marquee'&gt;",D131,"&lt;/p&gt;",IF(H131="Yes","&lt;img src='assets/CaCRequired.png' title='A CAC is required to use some or all features of this site!' Class='cacLocked'&gt;",""),IF(G131="Yes","&lt;img src='assets/DODlock.png' title='This Site requires a DoD network connection to be used!' Class='dodLocked'&gt;",""),"&lt;img src='assets/",#REF!,"' class='cardImage' loading='lazy'&gt;&lt;/div&gt;&lt;div class='title'&gt;&lt;span&gt;",A131,"&lt;/span&gt;&lt;/div&gt;&lt;/div&gt;&lt;/div&gt;&lt;/a&gt;&lt;/div&gt;&lt;script&gt;var js",F131," = document.getElementById('",F131,"').innerHTML;&lt;/script&gt;")</f>
        <v>0</v>
      </c>
      <c r="Q131" s="17" t="str">
        <f t="shared" si="4"/>
        <v xml:space="preserve">    &lt;details class='noSpacing'&gt;&lt;!-- Whole Health - https://www.va.gov/wholehealth --&gt;
      &lt;summary&gt;• &lt;a href='https://www.va.gov/wholehealth' rel='noopener noreferrer'&gt;Whole Health - https://www.va.gov/wholehealth&lt;/a&gt;&lt;/summary&gt;
      &lt;p&gt;&lt;/p&gt;
    &lt;/details&gt;</v>
      </c>
      <c r="R131" s="17" t="e">
        <f>CONCATENATE("          &lt;!-- ",#REF!," - ",#REF!," --&gt;&lt;div id='drag",#REF!,"' class='catAll",IF(#REF!="X"," catArmySites",""),IF(A131="X"," catCombatReadiness",""),IF(B131="X"," catDod",""),IF(C131="X"," catFamily",""),IF(#REF!="X"," catFinance",""),IF(D131="X"," catHealth",""),IF(F131="X"," catHuman",""),IF(G131="X"," catLegal",""),IF(H131="X"," catProDev",""),IF(I131="X"," catTech",""),IF(J131="X"," catMilEd",""),IF(K131="X"," catCivEd",""),IF(M131="X","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1" s="17" t="e">
        <f>CONCATENATE("var js",#REF!," = document.getElementbyId('drag",#REF!,"').innerHTML; //  ",#REF!)</f>
        <v>#REF!</v>
      </c>
    </row>
    <row r="132" spans="1:19" x14ac:dyDescent="0.25">
      <c r="A132" s="19" t="s">
        <v>1099</v>
      </c>
      <c r="B132" s="19"/>
      <c r="C132" s="18" t="s">
        <v>1098</v>
      </c>
      <c r="E132" s="17" t="s">
        <v>639</v>
      </c>
      <c r="F132" s="17" t="s">
        <v>1097</v>
      </c>
      <c r="G132" s="17" t="s">
        <v>480</v>
      </c>
      <c r="I132" s="17" t="s">
        <v>480</v>
      </c>
      <c r="O132" s="17" t="str">
        <f>CONCATENATE("var js",Table13[[#This Row],[ID]]," = document.getElementbyId('",Table13[[#This Row],[ID]],"').innerHTML; //  ",Table13[[#This Row],[Site]])</f>
        <v>var jsTA131 = document.getElementbyId('TA131').innerHTML; //  Whole Health Library</v>
      </c>
      <c r="P132" s="17">
        <f ca="1">CONCATENATE("        &lt;!--",A132," - ",C132," --&gt;&lt;div class='column catAll",IF(I132="X"," catArmySites",""),IF(J132="X"," catCombatReadiness",""),IF(K132="X"," catDod",""),IF(M132="X"," catFamily",""),IF(N132="X"," catFinance",""),IF(O132="X"," catHealth",""),IF(P132="X"," catHuman",""),IF(Q132="X"," catLegal",""),IF(R132="X"," catProDev",""),IF(S132="X"," catTech",""),IF(T132="X"," catMilEd",""),IF(U132="X"," catCivEd",""),IF(V132="X"," catUsGov",""),"' style='margin-bottom: 0px;' id='",F132,"'&gt;&lt;a href='",C132,"' rel='noopener noreferrer' class='column hideMarquee'&gt;&lt;div class='armyCardContainer card'&gt;&lt;div class='armyCard'&gt;&lt;div&gt;&lt;p class='marquee'&gt;",D132,"&lt;/p&gt;",IF(H132="Yes","&lt;img src='assets/CaCRequired.png' title='A CAC is required to use some or all features of this site!' Class='cacLocked'&gt;",""),IF(G132="Yes","&lt;img src='assets/DODlock.png' title='This Site requires a DoD network connection to be used!' Class='dodLocked'&gt;",""),"&lt;img src='assets/",#REF!,"' class='cardImage' loading='lazy'&gt;&lt;/div&gt;&lt;div class='title'&gt;&lt;span&gt;",A132,"&lt;/span&gt;&lt;/div&gt;&lt;/div&gt;&lt;/div&gt;&lt;/a&gt;&lt;/div&gt;&lt;script&gt;var js",F132," = document.getElementById('",F132,"').innerHTML;&lt;/script&gt;")</f>
        <v>0</v>
      </c>
      <c r="Q132" s="17" t="str">
        <f t="shared" si="4"/>
        <v xml:space="preserve">    &lt;details class='noSpacing'&gt;&lt;!-- Whole Health Library - https://www.va.gov/wholehealthlibrary/ --&gt;
      &lt;summary&gt;• &lt;a href='https://www.va.gov/wholehealthlibrary/' rel='noopener noreferrer'&gt;Whole Health Library - https://www.va.gov/wholehealthlibrary/&lt;/a&gt;&lt;/summary&gt;
      &lt;p&gt;&lt;/p&gt;
    &lt;/details&gt;</v>
      </c>
      <c r="R132" s="17" t="e">
        <f>CONCATENATE("          &lt;!-- ",#REF!," - ",#REF!," --&gt;&lt;div id='drag",#REF!,"' class='catAll",IF(#REF!="X"," catArmySites",""),IF(A132="X"," catCombatReadiness",""),IF(B132="X"," catDod",""),IF(C132="X"," catFamily",""),IF(#REF!="X"," catFinance",""),IF(D132="X"," catHealth",""),IF(F132="X"," catHuman",""),IF(G132="X"," catLegal",""),IF(H132="X"," catProDev",""),IF(I132="X"," catTech",""),IF(J132="X"," catMilEd",""),IF(K132="X"," catCivEd",""),IF(M132="X","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2" s="17" t="e">
        <f>CONCATENATE("var js",#REF!," = document.getElementbyId('drag",#REF!,"').innerHTML; //  ",#REF!)</f>
        <v>#REF!</v>
      </c>
    </row>
    <row r="133" spans="1:19" x14ac:dyDescent="0.25">
      <c r="A133" s="19" t="s">
        <v>1096</v>
      </c>
      <c r="B133" s="19"/>
      <c r="C133" s="18" t="s">
        <v>1095</v>
      </c>
      <c r="E133" s="17" t="s">
        <v>639</v>
      </c>
      <c r="F133" s="17" t="s">
        <v>1094</v>
      </c>
      <c r="I133" s="17" t="s">
        <v>480</v>
      </c>
      <c r="K133" s="17" t="s">
        <v>480</v>
      </c>
      <c r="O133" s="17" t="str">
        <f>CONCATENATE("var js",Table13[[#This Row],[ID]]," = document.getElementbyId('",Table13[[#This Row],[ID]],"').innerHTML; //  ",Table13[[#This Row],[Site]])</f>
        <v>var jsTA132 = document.getElementbyId('TA132').innerHTML; //  Women Veteran-Owned Small Business Initiative (WVOSBI)</v>
      </c>
      <c r="P133" s="17">
        <f ca="1">CONCATENATE("        &lt;!--",A133," - ",C133," --&gt;&lt;div class='column catAll",IF(I133="X"," catArmySites",""),IF(J133="X"," catCombatReadiness",""),IF(K133="X"," catDod",""),IF(M133="X"," catFamily",""),IF(N133="X"," catFinance",""),IF(O133="X"," catHealth",""),IF(P133="X"," catHuman",""),IF(Q133="X"," catLegal",""),IF(R133="X"," catProDev",""),IF(S133="X"," catTech",""),IF(T133="X"," catMilEd",""),IF(U133="X"," catCivEd",""),IF(V133="X"," catUsGov",""),"' style='margin-bottom: 0px;' id='",F133,"'&gt;&lt;a href='",C133,"' rel='noopener noreferrer' class='column hideMarquee'&gt;&lt;div class='armyCardContainer card'&gt;&lt;div class='armyCard'&gt;&lt;div&gt;&lt;p class='marquee'&gt;",D133,"&lt;/p&gt;",IF(H133="Yes","&lt;img src='assets/CaCRequired.png' title='A CAC is required to use some or all features of this site!' Class='cacLocked'&gt;",""),IF(G133="Yes","&lt;img src='assets/DODlock.png' title='This Site requires a DoD network connection to be used!' Class='dodLocked'&gt;",""),"&lt;img src='assets/",#REF!,"' class='cardImage' loading='lazy'&gt;&lt;/div&gt;&lt;div class='title'&gt;&lt;span&gt;",A133,"&lt;/span&gt;&lt;/div&gt;&lt;/div&gt;&lt;/div&gt;&lt;/a&gt;&lt;/div&gt;&lt;script&gt;var js",F133," = document.getElementById('",F133,"').innerHTML;&lt;/script&gt;")</f>
        <v>0</v>
      </c>
      <c r="Q133" s="17" t="str">
        <f t="shared" si="4"/>
        <v xml:space="preserve">    &lt;details class='noSpacing'&gt;&lt;!-- Women Veteran-Owned Small Business Initiative (WVOSBI) - https://www.va.gov/OSDBU/WVOSBI.asp --&gt;
      &lt;summary&gt;• &lt;a href='https://www.va.gov/OSDBU/WVOSBI.asp' rel='noopener noreferrer'&gt;Women Veteran-Owned Small Business Initiative (WVOSBI) - https://www.va.gov/OSDBU/WVOSBI.asp&lt;/a&gt;&lt;/summary&gt;
      &lt;p&gt;&lt;/p&gt;
    &lt;/details&gt;</v>
      </c>
      <c r="R133" s="17" t="e">
        <f>CONCATENATE("          &lt;!-- ",#REF!," - ",#REF!," --&gt;&lt;div id='drag",#REF!,"' class='catAll",IF(#REF!="X"," catArmySites",""),IF(A133="X"," catCombatReadiness",""),IF(B133="X"," catDod",""),IF(C133="X"," catFamily",""),IF(#REF!="X"," catFinance",""),IF(D133="X"," catHealth",""),IF(F133="X"," catHuman",""),IF(G133="X"," catLegal",""),IF(H133="X"," catProDev",""),IF(I133="X"," catTech",""),IF(J133="X"," catMilEd",""),IF(K133="X"," catCivEd",""),IF(M133="X","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3" s="17" t="e">
        <f>CONCATENATE("var js",#REF!," = document.getElementbyId('drag",#REF!,"').innerHTML; //  ",#REF!)</f>
        <v>#REF!</v>
      </c>
    </row>
    <row r="134" spans="1:19" x14ac:dyDescent="0.25">
      <c r="A134" s="19" t="s">
        <v>1093</v>
      </c>
      <c r="B134" s="19"/>
      <c r="C134" s="18" t="s">
        <v>1092</v>
      </c>
      <c r="E134" s="17" t="s">
        <v>639</v>
      </c>
      <c r="F134" s="17" t="s">
        <v>1091</v>
      </c>
      <c r="I134" s="17" t="s">
        <v>480</v>
      </c>
      <c r="J134" s="17" t="s">
        <v>480</v>
      </c>
      <c r="O134" s="17" t="str">
        <f>CONCATENATE("var js",Table13[[#This Row],[ID]]," = document.getElementbyId('",Table13[[#This Row],[ID]],"').innerHTML; //  ",Table13[[#This Row],[Site]])</f>
        <v>var jsTA133 = document.getElementbyId('TA133').innerHTML; //  Women Veterans Health Care</v>
      </c>
      <c r="P134" s="17">
        <f ca="1">CONCATENATE("        &lt;!--",A134," - ",C134," --&gt;&lt;div class='column catAll",IF(I134="X"," catArmySites",""),IF(J134="X"," catCombatReadiness",""),IF(K134="X"," catDod",""),IF(M134="X"," catFamily",""),IF(N134="X"," catFinance",""),IF(O134="X"," catHealth",""),IF(P134="X"," catHuman",""),IF(Q134="X"," catLegal",""),IF(R134="X"," catProDev",""),IF(S134="X"," catTech",""),IF(T134="X"," catMilEd",""),IF(U134="X"," catCivEd",""),IF(V134="X"," catUsGov",""),"' style='margin-bottom: 0px;' id='",F134,"'&gt;&lt;a href='",C134,"' rel='noopener noreferrer' class='column hideMarquee'&gt;&lt;div class='armyCardContainer card'&gt;&lt;div class='armyCard'&gt;&lt;div&gt;&lt;p class='marquee'&gt;",D134,"&lt;/p&gt;",IF(H134="Yes","&lt;img src='assets/CaCRequired.png' title='A CAC is required to use some or all features of this site!' Class='cacLocked'&gt;",""),IF(G134="Yes","&lt;img src='assets/DODlock.png' title='This Site requires a DoD network connection to be used!' Class='dodLocked'&gt;",""),"&lt;img src='assets/",#REF!,"' class='cardImage' loading='lazy'&gt;&lt;/div&gt;&lt;div class='title'&gt;&lt;span&gt;",A134,"&lt;/span&gt;&lt;/div&gt;&lt;/div&gt;&lt;/div&gt;&lt;/a&gt;&lt;/div&gt;&lt;script&gt;var js",F134," = document.getElementById('",F134,"').innerHTML;&lt;/script&gt;")</f>
        <v>0</v>
      </c>
      <c r="Q134" s="17" t="str">
        <f t="shared" si="4"/>
        <v xml:space="preserve">    &lt;details class='noSpacing'&gt;&lt;!-- Women Veterans Health Care - https://www.womenshealth.va.gov --&gt;
      &lt;summary&gt;• &lt;a href='https://www.womenshealth.va.gov' rel='noopener noreferrer'&gt;Women Veterans Health Care - https://www.womenshealth.va.gov&lt;/a&gt;&lt;/summary&gt;
      &lt;p&gt;&lt;/p&gt;
    &lt;/details&gt;</v>
      </c>
      <c r="R134" s="17" t="e">
        <f>CONCATENATE("          &lt;!-- ",#REF!," - ",#REF!," --&gt;&lt;div id='drag",#REF!,"' class='catAll",IF(#REF!="X"," catArmySites",""),IF(A134="X"," catCombatReadiness",""),IF(B134="X"," catDod",""),IF(C134="X"," catFamily",""),IF(#REF!="X"," catFinance",""),IF(D134="X"," catHealth",""),IF(F134="X"," catHuman",""),IF(G134="X"," catLegal",""),IF(H134="X"," catProDev",""),IF(I134="X"," catTech",""),IF(J134="X"," catMilEd",""),IF(K134="X"," catCivEd",""),IF(M134="X","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4" s="17" t="e">
        <f>CONCATENATE("var js",#REF!," = document.getElementbyId('drag",#REF!,"').innerHTML; //  ",#REF!)</f>
        <v>#REF!</v>
      </c>
    </row>
    <row r="135" spans="1:19" x14ac:dyDescent="0.25">
      <c r="A135" s="19" t="s">
        <v>1090</v>
      </c>
      <c r="B135" s="19"/>
      <c r="C135" s="18" t="s">
        <v>1089</v>
      </c>
      <c r="E135" s="17" t="s">
        <v>639</v>
      </c>
      <c r="F135" s="17" t="s">
        <v>1088</v>
      </c>
      <c r="I135" s="17" t="s">
        <v>480</v>
      </c>
      <c r="K135" s="17" t="s">
        <v>480</v>
      </c>
      <c r="O135" s="17" t="str">
        <f>CONCATENATE("var js",Table13[[#This Row],[ID]]," = document.getElementbyId('",Table13[[#This Row],[ID]],"').innerHTML; //  ",Table13[[#This Row],[Site]])</f>
        <v>var jsTA134 = document.getElementbyId('TA134').innerHTML; //  Yellow Ribbon Program(Post 9/11)</v>
      </c>
      <c r="P135" s="17">
        <f ca="1">CONCATENATE("        &lt;!--",A135," - ",C135," --&gt;&lt;div class='column catAll",IF(I135="X"," catArmySites",""),IF(J135="X"," catCombatReadiness",""),IF(K135="X"," catDod",""),IF(M135="X"," catFamily",""),IF(N135="X"," catFinance",""),IF(O135="X"," catHealth",""),IF(P135="X"," catHuman",""),IF(Q135="X"," catLegal",""),IF(R135="X"," catProDev",""),IF(S135="X"," catTech",""),IF(T135="X"," catMilEd",""),IF(U135="X"," catCivEd",""),IF(V135="X"," catUsGov",""),"' style='margin-bottom: 0px;' id='",F135,"'&gt;&lt;a href='",C135,"' rel='noopener noreferrer' class='column hideMarquee'&gt;&lt;div class='armyCardContainer card'&gt;&lt;div class='armyCard'&gt;&lt;div&gt;&lt;p class='marquee'&gt;",D135,"&lt;/p&gt;",IF(H135="Yes","&lt;img src='assets/CaCRequired.png' title='A CAC is required to use some or all features of this site!' Class='cacLocked'&gt;",""),IF(G135="Yes","&lt;img src='assets/DODlock.png' title='This Site requires a DoD network connection to be used!' Class='dodLocked'&gt;",""),"&lt;img src='assets/",#REF!,"' class='cardImage' loading='lazy'&gt;&lt;/div&gt;&lt;div class='title'&gt;&lt;span&gt;",A135,"&lt;/span&gt;&lt;/div&gt;&lt;/div&gt;&lt;/div&gt;&lt;/a&gt;&lt;/div&gt;&lt;script&gt;var js",F135," = document.getElementById('",F135,"').innerHTML;&lt;/script&gt;")</f>
        <v>0</v>
      </c>
      <c r="Q135" s="17" t="str">
        <f t="shared" si="4"/>
        <v xml:space="preserve">    &lt;details class='noSpacing'&gt;&lt;!-- Yellow Ribbon Program(Post 9/11) - https://www.va.gov/education/about-gi-bill-benefits/post-9-11/yellow-ribbon-program --&gt;
      &lt;summary&gt;• &lt;a href='https://www.va.gov/education/about-gi-bill-benefits/post-9-11/yellow-ribbon-program' rel='noopener noreferrer'&gt;Yellow Ribbon Program(Post 9/11) - https://www.va.gov/education/about-gi-bill-benefits/post-9-11/yellow-ribbon-program&lt;/a&gt;&lt;/summary&gt;
      &lt;p&gt;&lt;/p&gt;
    &lt;/details&gt;</v>
      </c>
      <c r="R135" s="17" t="e">
        <f>CONCATENATE("          &lt;!-- ",#REF!," - ",#REF!," --&gt;&lt;div id='drag",#REF!,"' class='catAll",IF(#REF!="X"," catArmySites",""),IF(A135="X"," catCombatReadiness",""),IF(B135="X"," catDod",""),IF(C135="X"," catFamily",""),IF(#REF!="X"," catFinance",""),IF(D135="X"," catHealth",""),IF(F135="X"," catHuman",""),IF(G135="X"," catLegal",""),IF(H135="X"," catProDev",""),IF(I135="X"," catTech",""),IF(J135="X"," catMilEd",""),IF(K135="X"," catCivEd",""),IF(M135="X","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5" s="17" t="e">
        <f>CONCATENATE("var js",#REF!," = document.getElementbyId('drag",#REF!,"').innerHTML; //  ",#REF!)</f>
        <v>#REF!</v>
      </c>
    </row>
    <row r="136" spans="1:19" x14ac:dyDescent="0.25">
      <c r="A136" s="19"/>
      <c r="B136" s="19"/>
      <c r="C136" s="18" t="s">
        <v>1087</v>
      </c>
      <c r="E136" s="17" t="s">
        <v>639</v>
      </c>
      <c r="J136" s="17" t="s">
        <v>480</v>
      </c>
      <c r="O136" s="17" t="str">
        <f>CONCATENATE("var js",Table13[[#This Row],[ID]]," = document.getElementbyId('",Table13[[#This Row],[ID]],"').innerHTML; //  ",Table13[[#This Row],[Site]])</f>
        <v xml:space="preserve">var js = document.getElementbyId('').innerHTML; //  </v>
      </c>
      <c r="P136" s="17">
        <f ca="1">CONCATENATE("        &lt;!--",A136," - ",C136," --&gt;&lt;div class='column catAll",IF(I136="X"," catArmySites",""),IF(J136="X"," catCombatReadiness",""),IF(K136="X"," catDod",""),IF(M136="X"," catFamily",""),IF(N136="X"," catFinance",""),IF(O136="X"," catHealth",""),IF(P136="X"," catHuman",""),IF(Q136="X"," catLegal",""),IF(R136="X"," catProDev",""),IF(S136="X"," catTech",""),IF(T136="X"," catMilEd",""),IF(U136="X"," catCivEd",""),IF(V136="X"," catUsGov",""),"' style='margin-bottom: 0px;' id='",F136,"'&gt;&lt;a href='",C136,"' rel='noopener noreferrer' class='column hideMarquee'&gt;&lt;div class='armyCardContainer card'&gt;&lt;div class='armyCard'&gt;&lt;div&gt;&lt;p class='marquee'&gt;",D136,"&lt;/p&gt;",IF(H136="Yes","&lt;img src='assets/CaCRequired.png' title='A CAC is required to use some or all features of this site!' Class='cacLocked'&gt;",""),IF(G136="Yes","&lt;img src='assets/DODlock.png' title='This Site requires a DoD network connection to be used!' Class='dodLocked'&gt;",""),"&lt;img src='assets/",#REF!,"' class='cardImage' loading='lazy'&gt;&lt;/div&gt;&lt;div class='title'&gt;&lt;span&gt;",A136,"&lt;/span&gt;&lt;/div&gt;&lt;/div&gt;&lt;/div&gt;&lt;/a&gt;&lt;/div&gt;&lt;script&gt;var js",F136," = document.getElementById('",F136,"').innerHTML;&lt;/script&gt;")</f>
        <v>0</v>
      </c>
      <c r="Q136" s="17" t="str">
        <f t="shared" si="4"/>
        <v xml:space="preserve">    &lt;details class='noSpacing'&gt;&lt;!--  - https://authentication.mods.army.mil/MCP --&gt;
      &lt;summary&gt;• &lt;a href='https://authentication.mods.army.mil/MCP' rel='noopener noreferrer'&gt; - https://authentication.mods.army.mil/MCP&lt;/a&gt;&lt;/summary&gt;
      &lt;p&gt;&lt;/p&gt;
    &lt;/details&gt;</v>
      </c>
      <c r="R136" s="17" t="e">
        <f>CONCATENATE("          &lt;!-- ",#REF!," - ",#REF!," --&gt;&lt;div id='drag",#REF!,"' class='catAll",IF(#REF!="X"," catArmySites",""),IF(A136="X"," catCombatReadiness",""),IF(B136="X"," catDod",""),IF(C136="X"," catFamily",""),IF(#REF!="X"," catFinance",""),IF(D136="X"," catHealth",""),IF(F136="X"," catHuman",""),IF(G136="X"," catLegal",""),IF(H136="X"," catProDev",""),IF(I136="X"," catTech",""),IF(J136="X"," catMilEd",""),IF(K136="X"," catCivEd",""),IF(M136="X","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6" s="17" t="e">
        <f>CONCATENATE("var js",#REF!," = document.getElementbyId('drag",#REF!,"').innerHTML; //  ",#REF!)</f>
        <v>#REF!</v>
      </c>
    </row>
    <row r="137" spans="1:19" x14ac:dyDescent="0.25">
      <c r="A137" s="19"/>
      <c r="B137" s="19"/>
      <c r="C137" s="18" t="s">
        <v>1086</v>
      </c>
      <c r="E137" s="17" t="s">
        <v>639</v>
      </c>
      <c r="J137" s="17" t="s">
        <v>480</v>
      </c>
      <c r="O137" s="17" t="str">
        <f>CONCATENATE("var js",Table13[[#This Row],[ID]]," = document.getElementbyId('",Table13[[#This Row],[ID]],"').innerHTML; //  ",Table13[[#This Row],[Site]])</f>
        <v xml:space="preserve">var js = document.getElementbyId('').innerHTML; //  </v>
      </c>
      <c r="P137" s="17">
        <f ca="1">CONCATENATE("        &lt;!--",A137," - ",C137," --&gt;&lt;div class='column catAll",IF(I137="X"," catArmySites",""),IF(J137="X"," catCombatReadiness",""),IF(K137="X"," catDod",""),IF(M137="X"," catFamily",""),IF(N137="X"," catFinance",""),IF(O137="X"," catHealth",""),IF(P137="X"," catHuman",""),IF(Q137="X"," catLegal",""),IF(R137="X"," catProDev",""),IF(S137="X"," catTech",""),IF(T137="X"," catMilEd",""),IF(U137="X"," catCivEd",""),IF(V137="X"," catUsGov",""),"' style='margin-bottom: 0px;' id='",F137,"'&gt;&lt;a href='",C137,"' rel='noopener noreferrer' class='column hideMarquee'&gt;&lt;div class='armyCardContainer card'&gt;&lt;div class='armyCard'&gt;&lt;div&gt;&lt;p class='marquee'&gt;",D137,"&lt;/p&gt;",IF(H137="Yes","&lt;img src='assets/CaCRequired.png' title='A CAC is required to use some or all features of this site!' Class='cacLocked'&gt;",""),IF(G137="Yes","&lt;img src='assets/DODlock.png' title='This Site requires a DoD network connection to be used!' Class='dodLocked'&gt;",""),"&lt;img src='assets/",#REF!,"' class='cardImage' loading='lazy'&gt;&lt;/div&gt;&lt;div class='title'&gt;&lt;span&gt;",A137,"&lt;/span&gt;&lt;/div&gt;&lt;/div&gt;&lt;/div&gt;&lt;/a&gt;&lt;/div&gt;&lt;script&gt;var js",F137," = document.getElementById('",F137,"').innerHTML;&lt;/script&gt;")</f>
        <v>0</v>
      </c>
      <c r="Q137" s="17" t="str">
        <f t="shared" si="4"/>
        <v xml:space="preserve">    &lt;details class='noSpacing'&gt;&lt;!--  - https://cms.mods.amry.mil --&gt;
      &lt;summary&gt;• &lt;a href='https://cms.mods.amry.mil' rel='noopener noreferrer'&gt; - https://cms.mods.amry.mil&lt;/a&gt;&lt;/summary&gt;
      &lt;p&gt;&lt;/p&gt;
    &lt;/details&gt;</v>
      </c>
      <c r="R137" s="17" t="e">
        <f>CONCATENATE("          &lt;!-- ",#REF!," - ",#REF!," --&gt;&lt;div id='drag",#REF!,"' class='catAll",IF(#REF!="X"," catArmySites",""),IF(A137="X"," catCombatReadiness",""),IF(B137="X"," catDod",""),IF(C137="X"," catFamily",""),IF(#REF!="X"," catFinance",""),IF(D137="X"," catHealth",""),IF(F137="X"," catHuman",""),IF(G137="X"," catLegal",""),IF(H137="X"," catProDev",""),IF(I137="X"," catTech",""),IF(J137="X"," catMilEd",""),IF(K137="X"," catCivEd",""),IF(M137="X","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7" s="17" t="e">
        <f>CONCATENATE("var js",#REF!," = document.getElementbyId('drag",#REF!,"').innerHTML; //  ",#REF!)</f>
        <v>#REF!</v>
      </c>
    </row>
    <row r="138" spans="1:19" x14ac:dyDescent="0.25">
      <c r="A138" s="19"/>
      <c r="B138" s="19"/>
      <c r="C138" s="18" t="s">
        <v>1085</v>
      </c>
      <c r="E138" s="17" t="s">
        <v>639</v>
      </c>
      <c r="J138" s="17" t="s">
        <v>480</v>
      </c>
      <c r="O138" s="17" t="str">
        <f>CONCATENATE("var js",Table13[[#This Row],[ID]]," = document.getElementbyId('",Table13[[#This Row],[ID]],"').innerHTML; //  ",Table13[[#This Row],[Site]])</f>
        <v xml:space="preserve">var js = document.getElementbyId('').innerHTML; //  </v>
      </c>
      <c r="P138" s="17">
        <f ca="1">CONCATENATE("        &lt;!--",A138," - ",C138," --&gt;&lt;div class='column catAll",IF(I138="X"," catArmySites",""),IF(J138="X"," catCombatReadiness",""),IF(K138="X"," catDod",""),IF(M138="X"," catFamily",""),IF(N138="X"," catFinance",""),IF(O138="X"," catHealth",""),IF(P138="X"," catHuman",""),IF(Q138="X"," catLegal",""),IF(R138="X"," catProDev",""),IF(S138="X"," catTech",""),IF(T138="X"," catMilEd",""),IF(U138="X"," catCivEd",""),IF(V138="X"," catUsGov",""),"' style='margin-bottom: 0px;' id='",F138,"'&gt;&lt;a href='",C138,"' rel='noopener noreferrer' class='column hideMarquee'&gt;&lt;div class='armyCardContainer card'&gt;&lt;div class='armyCard'&gt;&lt;div&gt;&lt;p class='marquee'&gt;",D138,"&lt;/p&gt;",IF(H138="Yes","&lt;img src='assets/CaCRequired.png' title='A CAC is required to use some or all features of this site!' Class='cacLocked'&gt;",""),IF(G138="Yes","&lt;img src='assets/DODlock.png' title='This Site requires a DoD network connection to be used!' Class='dodLocked'&gt;",""),"&lt;img src='assets/",#REF!,"' class='cardImage' loading='lazy'&gt;&lt;/div&gt;&lt;div class='title'&gt;&lt;span&gt;",A138,"&lt;/span&gt;&lt;/div&gt;&lt;/div&gt;&lt;/div&gt;&lt;/a&gt;&lt;/div&gt;&lt;script&gt;var js",F138," = document.getElementById('",F138,"').innerHTML;&lt;/script&gt;")</f>
        <v>0</v>
      </c>
      <c r="Q138" s="17" t="str">
        <f t="shared" si="4"/>
        <v xml:space="preserve">    &lt;details class='noSpacing'&gt;&lt;!--  - https://www.hrc.army.mil/site/protect/active/epord/coad.htm --&gt;
      &lt;summary&gt;• &lt;a href='https://www.hrc.army.mil/site/protect/active/epord/coad.htm' rel='noopener noreferrer'&gt; - https://www.hrc.army.mil/site/protect/active/epord/coad.htm&lt;/a&gt;&lt;/summary&gt;
      &lt;p&gt;&lt;/p&gt;
    &lt;/details&gt;</v>
      </c>
      <c r="R138" s="17" t="e">
        <f>CONCATENATE("          &lt;!-- ",#REF!," - ",#REF!," --&gt;&lt;div id='drag",#REF!,"' class='catAll",IF(#REF!="X"," catArmySites",""),IF(A138="X"," catCombatReadiness",""),IF(B138="X"," catDod",""),IF(C138="X"," catFamily",""),IF(#REF!="X"," catFinance",""),IF(D138="X"," catHealth",""),IF(F138="X"," catHuman",""),IF(G138="X"," catLegal",""),IF(H138="X"," catProDev",""),IF(I138="X"," catTech",""),IF(J138="X"," catMilEd",""),IF(K138="X"," catCivEd",""),IF(M138="X","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8" s="17" t="e">
        <f>CONCATENATE("var js",#REF!," = document.getElementbyId('drag",#REF!,"').innerHTML; //  ",#REF!)</f>
        <v>#REF!</v>
      </c>
    </row>
    <row r="139" spans="1:19" x14ac:dyDescent="0.25">
      <c r="A139" s="19"/>
      <c r="B139" s="19"/>
      <c r="C139" s="18" t="s">
        <v>1084</v>
      </c>
      <c r="E139" s="17" t="s">
        <v>639</v>
      </c>
      <c r="J139" s="17" t="s">
        <v>480</v>
      </c>
      <c r="O139" s="17" t="str">
        <f>CONCATENATE("var js",Table13[[#This Row],[ID]]," = document.getElementbyId('",Table13[[#This Row],[ID]],"').innerHTML; //  ",Table13[[#This Row],[Site]])</f>
        <v xml:space="preserve">var js = document.getElementbyId('').innerHTML; //  </v>
      </c>
      <c r="P139" s="17">
        <f ca="1">CONCATENATE("        &lt;!--",A139," - ",C139," --&gt;&lt;div class='column catAll",IF(I139="X"," catArmySites",""),IF(J139="X"," catCombatReadiness",""),IF(K139="X"," catDod",""),IF(M139="X"," catFamily",""),IF(N139="X"," catFinance",""),IF(O139="X"," catHealth",""),IF(P139="X"," catHuman",""),IF(Q139="X"," catLegal",""),IF(R139="X"," catProDev",""),IF(S139="X"," catTech",""),IF(T139="X"," catMilEd",""),IF(U139="X"," catCivEd",""),IF(V139="X"," catUsGov",""),"' style='margin-bottom: 0px;' id='",F139,"'&gt;&lt;a href='",C139,"' rel='noopener noreferrer' class='column hideMarquee'&gt;&lt;div class='armyCardContainer card'&gt;&lt;div class='armyCard'&gt;&lt;div&gt;&lt;p class='marquee'&gt;",D139,"&lt;/p&gt;",IF(H139="Yes","&lt;img src='assets/CaCRequired.png' title='A CAC is required to use some or all features of this site!' Class='cacLocked'&gt;",""),IF(G139="Yes","&lt;img src='assets/DODlock.png' title='This Site requires a DoD network connection to be used!' Class='dodLocked'&gt;",""),"&lt;img src='assets/",#REF!,"' class='cardImage' loading='lazy'&gt;&lt;/div&gt;&lt;div class='title'&gt;&lt;span&gt;",A139,"&lt;/span&gt;&lt;/div&gt;&lt;/div&gt;&lt;/div&gt;&lt;/a&gt;&lt;/div&gt;&lt;script&gt;var js",F139," = document.getElementById('",F139,"').innerHTML;&lt;/script&gt;")</f>
        <v>0</v>
      </c>
      <c r="Q139" s="17" t="str">
        <f t="shared" si="4"/>
        <v xml:space="preserve">    &lt;details class='noSpacing'&gt;&lt;!--  - https://www.sms.army.mil/cms/spring.login --&gt;
      &lt;summary&gt;• &lt;a href='https://www.sms.army.mil/cms/spring.login' rel='noopener noreferrer'&gt; - https://www.sms.army.mil/cms/spring.login&lt;/a&gt;&lt;/summary&gt;
      &lt;p&gt;&lt;/p&gt;
    &lt;/details&gt;</v>
      </c>
      <c r="R139" s="17" t="e">
        <f>CONCATENATE("          &lt;!-- ",#REF!," - ",#REF!," --&gt;&lt;div id='drag",#REF!,"' class='catAll",IF(#REF!="X"," catArmySites",""),IF(A139="X"," catCombatReadiness",""),IF(B139="X"," catDod",""),IF(C139="X"," catFamily",""),IF(#REF!="X"," catFinance",""),IF(D139="X"," catHealth",""),IF(F139="X"," catHuman",""),IF(G139="X"," catLegal",""),IF(H139="X"," catProDev",""),IF(I139="X"," catTech",""),IF(J139="X"," catMilEd",""),IF(K139="X"," catCivEd",""),IF(M139="X","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39" s="17" t="e">
        <f>CONCATENATE("var js",#REF!," = document.getElementbyId('drag",#REF!,"').innerHTML; //  ",#REF!)</f>
        <v>#REF!</v>
      </c>
    </row>
    <row r="140" spans="1:19" hidden="1" x14ac:dyDescent="0.25">
      <c r="A140" s="19"/>
      <c r="B140" s="19"/>
      <c r="C140" s="18" t="s">
        <v>1083</v>
      </c>
      <c r="E140" s="17" t="s">
        <v>639</v>
      </c>
      <c r="I140" s="17" t="s">
        <v>480</v>
      </c>
      <c r="K140" s="17" t="s">
        <v>480</v>
      </c>
      <c r="O140" s="17" t="str">
        <f>CONCATENATE("var js",Table13[[#This Row],[ID]]," = document.getElementbyId('",Table13[[#This Row],[ID]],"').innerHTML; //  ",Table13[[#This Row],[Site]])</f>
        <v xml:space="preserve">var js = document.getElementbyId('').innerHTML; //  </v>
      </c>
      <c r="P140" s="17">
        <f ca="1">CONCATENATE("        &lt;!--",A140," - ",C140," --&gt;&lt;div class='column catAll",IF(I140="X"," catArmySites",""),IF(J140="X"," catCombatReadiness",""),IF(K140="X"," catDod",""),IF(M140="X"," catFamily",""),IF(N140="X"," catFinance",""),IF(O140="X"," catHealth",""),IF(P140="X"," catHuman",""),IF(Q140="X"," catLegal",""),IF(R140="X"," catProDev",""),IF(S140="X"," catTech",""),IF(T140="X"," catMilEd",""),IF(U140="X"," catCivEd",""),IF(V140="X"," catUsGov",""),"' style='margin-bottom: 0px;' id='",F140,"'&gt;&lt;a href='",C140,"' rel='noopener noreferrer' class='column hideMarquee'&gt;&lt;div class='armyCardContainer card'&gt;&lt;div class='armyCard'&gt;&lt;div&gt;&lt;p class='marquee'&gt;",D140,"&lt;/p&gt;",IF(H140="Yes","&lt;img src='assets/CaCRequired.png' title='A CAC is required to use some or all features of this site!' Class='cacLocked'&gt;",""),IF(G140="Yes","&lt;img src='assets/DODlock.png' title='This Site requires a DoD network connection to be used!' Class='dodLocked'&gt;",""),"&lt;img src='assets/",#REF!,"' class='cardImage' loading='lazy'&gt;&lt;/div&gt;&lt;div class='title'&gt;&lt;span&gt;",A140,"&lt;/span&gt;&lt;/div&gt;&lt;/div&gt;&lt;/div&gt;&lt;/a&gt;&lt;/div&gt;&lt;script&gt;var js",F140," = document.getElementById('",F140,"').innerHTML;&lt;/script&gt;")</f>
        <v>0</v>
      </c>
      <c r="Q140" s="17" t="str">
        <f t="shared" si="4"/>
        <v xml:space="preserve">    &lt;details class='noSpacing'&gt;&lt;!--  - https://www.vacareers.va.gov --&gt;
      &lt;summary&gt;• &lt;a href='https://www.vacareers.va.gov' rel='noopener noreferrer'&gt; - https://www.vacareers.va.gov&lt;/a&gt;&lt;/summary&gt;
      &lt;p&gt;&lt;/p&gt;
    &lt;/details&gt;</v>
      </c>
      <c r="R140" s="17" t="e">
        <f>CONCATENATE("          &lt;!-- ",#REF!," - ",#REF!," --&gt;&lt;div id='drag",#REF!,"' class='catAll",IF(#REF!="X"," catArmySites",""),IF(A140="X"," catCombatReadiness",""),IF(B140="X"," catDod",""),IF(C140="X"," catFamily",""),IF(#REF!="X"," catFinance",""),IF(D140="X"," catHealth",""),IF(F140="X"," catHuman",""),IF(G140="X"," catLegal",""),IF(H140="X"," catProDev",""),IF(I140="X"," catTech",""),IF(J140="X"," catMilEd",""),IF(K140="X"," catCivEd",""),IF(M140="X","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40" s="17" t="e">
        <f>CONCATENATE("var js",#REF!," = document.getElementbyId('drag",#REF!,"').innerHTML; //  ",#REF!)</f>
        <v>#REF!</v>
      </c>
    </row>
    <row r="141" spans="1:19" hidden="1" x14ac:dyDescent="0.25">
      <c r="A141" s="19"/>
      <c r="B141" s="19"/>
      <c r="C141" s="18" t="s">
        <v>1082</v>
      </c>
      <c r="E141" s="17" t="s">
        <v>639</v>
      </c>
      <c r="I141" s="17" t="s">
        <v>480</v>
      </c>
      <c r="K141" s="17" t="s">
        <v>480</v>
      </c>
      <c r="O141" s="17" t="str">
        <f>CONCATENATE("var js",Table13[[#This Row],[ID]]," = document.getElementbyId('",Table13[[#This Row],[ID]],"').innerHTML; //  ",Table13[[#This Row],[Site]])</f>
        <v xml:space="preserve">var js = document.getElementbyId('').innerHTML; //  </v>
      </c>
      <c r="P141" s="17">
        <f ca="1">CONCATENATE("        &lt;!--",A141," - ",C141," --&gt;&lt;div class='column catAll",IF(I141="X"," catArmySites",""),IF(J141="X"," catCombatReadiness",""),IF(K141="X"," catDod",""),IF(M141="X"," catFamily",""),IF(N141="X"," catFinance",""),IF(O141="X"," catHealth",""),IF(P141="X"," catHuman",""),IF(Q141="X"," catLegal",""),IF(R141="X"," catProDev",""),IF(S141="X"," catTech",""),IF(T141="X"," catMilEd",""),IF(U141="X"," catCivEd",""),IF(V141="X"," catUsGov",""),"' style='margin-bottom: 0px;' id='",F141,"'&gt;&lt;a href='",C141,"' rel='noopener noreferrer' class='column hideMarquee'&gt;&lt;div class='armyCardContainer card'&gt;&lt;div class='armyCard'&gt;&lt;div&gt;&lt;p class='marquee'&gt;",D141,"&lt;/p&gt;",IF(H141="Yes","&lt;img src='assets/CaCRequired.png' title='A CAC is required to use some or all features of this site!' Class='cacLocked'&gt;",""),IF(G141="Yes","&lt;img src='assets/DODlock.png' title='This Site requires a DoD network connection to be used!' Class='dodLocked'&gt;",""),"&lt;img src='assets/",#REF!,"' class='cardImage' loading='lazy'&gt;&lt;/div&gt;&lt;div class='title'&gt;&lt;span&gt;",A141,"&lt;/span&gt;&lt;/div&gt;&lt;/div&gt;&lt;/div&gt;&lt;/a&gt;&lt;/div&gt;&lt;script&gt;var js",F141," = document.getElementById('",F141,"').innerHTML;&lt;/script&gt;")</f>
        <v>0</v>
      </c>
      <c r="Q141" s="17" t="str">
        <f t="shared" si="4"/>
        <v xml:space="preserve">    &lt;details class='noSpacing'&gt;&lt;!--  - https://www.vacareers.va.gov/careers/technicalfield --&gt;
      &lt;summary&gt;• &lt;a href='https://www.vacareers.va.gov/careers/technicalfield' rel='noopener noreferrer'&gt; - https://www.vacareers.va.gov/careers/technicalfield&lt;/a&gt;&lt;/summary&gt;
      &lt;p&gt;&lt;/p&gt;
    &lt;/details&gt;</v>
      </c>
      <c r="R141" s="17" t="e">
        <f>CONCATENATE("          &lt;!-- ",#REF!," - ",#REF!," --&gt;&lt;div id='drag",#REF!,"' class='catAll",IF(#REF!="X"," catArmySites",""),IF(A141="X"," catCombatReadiness",""),IF(B141="X"," catDod",""),IF(C141="X"," catFamily",""),IF(#REF!="X"," catFinance",""),IF(D141="X"," catHealth",""),IF(F141="X"," catHuman",""),IF(G141="X"," catLegal",""),IF(H141="X"," catProDev",""),IF(I141="X"," catTech",""),IF(J141="X"," catMilEd",""),IF(K141="X"," catCivEd",""),IF(M141="X","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41" s="17" t="e">
        <f>CONCATENATE("var js",#REF!," = document.getElementbyId('drag",#REF!,"').innerHTML; //  ",#REF!)</f>
        <v>#REF!</v>
      </c>
    </row>
    <row r="142" spans="1:19" hidden="1" x14ac:dyDescent="0.25">
      <c r="A142" s="19"/>
      <c r="B142" s="19"/>
      <c r="C142" s="18" t="s">
        <v>1081</v>
      </c>
      <c r="E142" s="17" t="s">
        <v>639</v>
      </c>
      <c r="I142" s="17" t="s">
        <v>480</v>
      </c>
      <c r="K142" s="17" t="s">
        <v>480</v>
      </c>
      <c r="O142" s="17" t="str">
        <f>CONCATENATE("var js",Table13[[#This Row],[ID]]," = document.getElementbyId('",Table13[[#This Row],[ID]],"').innerHTML; //  ",Table13[[#This Row],[Site]])</f>
        <v xml:space="preserve">var js = document.getElementbyId('').innerHTML; //  </v>
      </c>
      <c r="P142" s="17">
        <f ca="1">CONCATENATE("        &lt;!--",A142," - ",C142," --&gt;&lt;div class='column catAll",IF(I142="X"," catArmySites",""),IF(J142="X"," catCombatReadiness",""),IF(K142="X"," catDod",""),IF(M142="X"," catFamily",""),IF(N142="X"," catFinance",""),IF(O142="X"," catHealth",""),IF(P142="X"," catHuman",""),IF(Q142="X"," catLegal",""),IF(R142="X"," catProDev",""),IF(S142="X"," catTech",""),IF(T142="X"," catMilEd",""),IF(U142="X"," catCivEd",""),IF(V142="X"," catUsGov",""),"' style='margin-bottom: 0px;' id='",F142,"'&gt;&lt;a href='",C142,"' rel='noopener noreferrer' class='column hideMarquee'&gt;&lt;div class='armyCardContainer card'&gt;&lt;div class='armyCard'&gt;&lt;div&gt;&lt;p class='marquee'&gt;",D142,"&lt;/p&gt;",IF(H142="Yes","&lt;img src='assets/CaCRequired.png' title='A CAC is required to use some or all features of this site!' Class='cacLocked'&gt;",""),IF(G142="Yes","&lt;img src='assets/DODlock.png' title='This Site requires a DoD network connection to be used!' Class='dodLocked'&gt;",""),"&lt;img src='assets/",#REF!,"' class='cardImage' loading='lazy'&gt;&lt;/div&gt;&lt;div class='title'&gt;&lt;span&gt;",A142,"&lt;/span&gt;&lt;/div&gt;&lt;/div&gt;&lt;/div&gt;&lt;/a&gt;&lt;/div&gt;&lt;script&gt;var js",F142," = document.getElementById('",F142,"').innerHTML;&lt;/script&gt;")</f>
        <v>0</v>
      </c>
      <c r="Q142" s="17" t="str">
        <f t="shared" si="4"/>
        <v xml:space="preserve">    &lt;details class='noSpacing'&gt;&lt;!--  - https://www.vacareers.va.gov/careers/veterans --&gt;
      &lt;summary&gt;• &lt;a href='https://www.vacareers.va.gov/careers/veterans' rel='noopener noreferrer'&gt; - https://www.vacareers.va.gov/careers/veterans&lt;/a&gt;&lt;/summary&gt;
      &lt;p&gt;&lt;/p&gt;
    &lt;/details&gt;</v>
      </c>
      <c r="R142" s="17" t="e">
        <f>CONCATENATE("          &lt;!-- ",#REF!," - ",#REF!," --&gt;&lt;div id='drag",#REF!,"' class='catAll",IF(#REF!="X"," catArmySites",""),IF(A142="X"," catCombatReadiness",""),IF(B142="X"," catDod",""),IF(C142="X"," catFamily",""),IF(#REF!="X"," catFinance",""),IF(D142="X"," catHealth",""),IF(F142="X"," catHuman",""),IF(G142="X"," catLegal",""),IF(H142="X"," catProDev",""),IF(I142="X"," catTech",""),IF(J142="X"," catMilEd",""),IF(K142="X"," catCivEd",""),IF(M142="X","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42" s="17" t="e">
        <f>CONCATENATE("var js",#REF!," = document.getElementbyId('drag",#REF!,"').innerHTML; //  ",#REF!)</f>
        <v>#REF!</v>
      </c>
    </row>
    <row r="143" spans="1:19" x14ac:dyDescent="0.25">
      <c r="A143" s="19"/>
      <c r="B143" s="19"/>
      <c r="C143" s="18" t="s">
        <v>1080</v>
      </c>
      <c r="E143" s="17" t="s">
        <v>639</v>
      </c>
      <c r="G143" s="17" t="s">
        <v>480</v>
      </c>
      <c r="O143" s="17" t="str">
        <f>CONCATENATE("var js",Table13[[#This Row],[ID]]," = document.getElementbyId('",Table13[[#This Row],[ID]],"').innerHTML; //  ",Table13[[#This Row],[Site]])</f>
        <v xml:space="preserve">var js = document.getElementbyId('').innerHTML; //  </v>
      </c>
      <c r="P143" s="17">
        <f ca="1">CONCATENATE("        &lt;!--",A143," - ",C143," --&gt;&lt;div class='column catAll",IF(I143="X"," catArmySites",""),IF(J143="X"," catCombatReadiness",""),IF(K143="X"," catDod",""),IF(M143="X"," catFamily",""),IF(N143="X"," catFinance",""),IF(O143="X"," catHealth",""),IF(P143="X"," catHuman",""),IF(Q143="X"," catLegal",""),IF(R143="X"," catProDev",""),IF(S143="X"," catTech",""),IF(T143="X"," catMilEd",""),IF(U143="X"," catCivEd",""),IF(V143="X"," catUsGov",""),"' style='margin-bottom: 0px;' id='",F143,"'&gt;&lt;a href='",C143,"' rel='noopener noreferrer' class='column hideMarquee'&gt;&lt;div class='armyCardContainer card'&gt;&lt;div class='armyCard'&gt;&lt;div&gt;&lt;p class='marquee'&gt;",D143,"&lt;/p&gt;",IF(H143="Yes","&lt;img src='assets/CaCRequired.png' title='A CAC is required to use some or all features of this site!' Class='cacLocked'&gt;",""),IF(G143="Yes","&lt;img src='assets/DODlock.png' title='This Site requires a DoD network connection to be used!' Class='dodLocked'&gt;",""),"&lt;img src='assets/",#REF!,"' class='cardImage' loading='lazy'&gt;&lt;/div&gt;&lt;div class='title'&gt;&lt;span&gt;",A143,"&lt;/span&gt;&lt;/div&gt;&lt;/div&gt;&lt;/div&gt;&lt;/a&gt;&lt;/div&gt;&lt;script&gt;var js",F143," = document.getElementById('",F143,"').innerHTML;&lt;/script&gt;")</f>
        <v>0</v>
      </c>
      <c r="Q143" s="17" t="str">
        <f t="shared" si="4"/>
        <v xml:space="preserve">    &lt;details class='noSpacing'&gt;&lt;!--  - https://www.va.gov/REACH/ --&gt;
      &lt;summary&gt;• &lt;a href='https://www.va.gov/REACH/' rel='noopener noreferrer'&gt; - https://www.va.gov/REACH/&lt;/a&gt;&lt;/summary&gt;
      &lt;p&gt;&lt;/p&gt;
    &lt;/details&gt;</v>
      </c>
      <c r="R143" s="17" t="e">
        <f>CONCATENATE("          &lt;!-- ",#REF!," - ",#REF!," --&gt;&lt;div id='drag",#REF!,"' class='catAll",IF(#REF!="X"," catArmySites",""),IF(A143="X"," catCombatReadiness",""),IF(B143="X"," catDod",""),IF(C143="X"," catFamily",""),IF(#REF!="X"," catFinance",""),IF(D143="X"," catHealth",""),IF(F143="X"," catHuman",""),IF(G143="X"," catLegal",""),IF(H143="X"," catProDev",""),IF(I143="X"," catTech",""),IF(J143="X"," catMilEd",""),IF(K143="X"," catCivEd",""),IF(M143="X"," catUsGov",""),"'&gt;&lt;div class='column hideMarquee' draggable='true' ondragstart='drag(event)' value='",#REF!,"' id='",#REF!,"'&gt;&lt;div class='armyCardContainer ssCard'&gt;&lt;div class='ssArmyCard'&gt;&lt;div&gt;&lt;p class='marquee'&gt;",#REF!,"&lt;/p&gt;&lt;img src='assets/",#REF!,"' class='ssCardImage' draggable='false' loading='lazy'&gt;&lt;/div&gt;&lt;div class='ssTitle'&gt;&lt;span id='",#REF!,"Title'&gt;",#REF!,"&lt;/span&gt;&lt;/div&gt;&lt;/div&gt;&lt;/div&gt;&lt;/div&gt;&lt;/div&gt;&lt;script&gt;var js",#REF!," = document.getElementById('drag",#REF!,"').innerHTML;&lt;/script&gt;")</f>
        <v>#REF!</v>
      </c>
      <c r="S143" s="17" t="e">
        <f>CONCATENATE("var js",#REF!," = document.getElementbyId('drag",#REF!,"').innerHTML; //  ",#REF!)</f>
        <v>#REF!</v>
      </c>
    </row>
  </sheetData>
  <hyperlinks>
    <hyperlink ref="C39" r:id="rId1" display="www.benefits.VA.gov/guardreserve" xr:uid="{E3AC9621-822E-41C8-809A-BDBB18F95532}"/>
    <hyperlink ref="C123" r:id="rId2" display="www.VA.gov/homeless/vjo.asp" xr:uid="{4D2F6641-0EAE-42E9-A475-FF3989007114}"/>
    <hyperlink ref="C20" r:id="rId3" display="www.VA.gov/homeless/reentry.asp" xr:uid="{036AD6E3-DB94-41EA-BBBF-C86586E706AD}"/>
    <hyperlink ref="C7" r:id="rId4" display="www.VA.gov/centerforminorityveterans/" xr:uid="{B3706867-47A1-42F3-863A-A6BF1C889BCA}"/>
    <hyperlink ref="C66" r:id="rId5" display="www.va.gov" xr:uid="{BD9B76C1-EA9D-4F6A-BB30-CEF01FCB24B6}"/>
    <hyperlink ref="C37" r:id="rId6" display="www.myhealth.VA.gov" xr:uid="{8868D234-CBE8-47E4-A98C-0C0ADCE638BC}"/>
    <hyperlink ref="C71" r:id="rId7" display="www.uso.org/programs/uso-pathfinder" xr:uid="{EB73E0AD-5435-466F-A28F-E8B405A2F078}"/>
    <hyperlink ref="C78" r:id="rId8" display="www.volunteer.VA.gov" xr:uid="{3DFB0C52-9CD6-4DB8-AA1D-F1E90DD30A54}"/>
    <hyperlink ref="C61" r:id="rId9" display="www.dodsurveys.mil/tgpsp" xr:uid="{2A8D59EE-07A6-47CD-9A7F-5ADFC2BD4F44}"/>
    <hyperlink ref="C3" r:id="rId10" display="www.VA.gov/wholehealth/phi.asp" xr:uid="{7045B9B1-18D9-4AFA-A3EB-542FBF2419F5}"/>
    <hyperlink ref="C24" r:id="rId11" display="www.VA.gov/healthbenefits/apps/explorer" xr:uid="{2F77A242-42E7-4B4D-8364-A21E3F23E895}"/>
    <hyperlink ref="C121" r:id="rId12" display="www.VA.gov/vhie" xr:uid="{087EB5A9-8E86-4C8F-8F29-C10BDFFE26E8}"/>
    <hyperlink ref="C49" r:id="rId13" display="www.rallypoint.com" xr:uid="{307B6EA8-02E3-4D13-9618-62B648CC8148}"/>
    <hyperlink ref="C41" r:id="rId14" display="www.patientcare.va.gov/chaplain/index.asp" xr:uid="{C6EB642A-8601-4CB2-A82C-9135E0A1A167}"/>
    <hyperlink ref="C6" r:id="rId15" display="www.hhs.gov/about/agencies/iea/partnerships/index.html" xr:uid="{928965AF-7DA7-4535-AE78-5EC38FBC811E}"/>
    <hyperlink ref="C29" r:id="rId16" display="www.mentalhealth.va.gov/suicide_prevention" xr:uid="{635CD60E-AD75-4349-8D94-83D7C0A7063D}"/>
    <hyperlink ref="C120" r:id="rId17" display="www.va.gov/health/patientadvocate" xr:uid="{99AB740C-BF14-4551-A27A-5F63A2B69497}"/>
    <hyperlink ref="C119" r:id="rId18" display="www.veteranscrisisline.net/resourcelocator" xr:uid="{F886BD68-CA40-4F25-B824-BD55F352CAB3}"/>
    <hyperlink ref="C33" r:id="rId19" xr:uid="{3147D778-5BAB-498E-80E2-A3C8488C2D45}"/>
    <hyperlink ref="C38" r:id="rId20" display="www.ptsd.va.gov" xr:uid="{1BA99650-5C81-4BC5-8398-B5D04DEE017B}"/>
    <hyperlink ref="C48" r:id="rId21" display="www.ptsd.va.gov/apps/decisionaid" xr:uid="{45FC0D05-C33B-44EA-8ABA-88397F931B61}"/>
    <hyperlink ref="C47" r:id="rId22" xr:uid="{833C2C24-3AFA-4258-9694-E5E3DE06D128}"/>
    <hyperlink ref="C107" r:id="rId23" display="www.vetcenter.va.gov" xr:uid="{A7C8FF0D-1633-4CB6-A4EE-E2531A1CDBF0}"/>
    <hyperlink ref="C114" r:id="rId24" display="www.va.gov/find-locations" xr:uid="{69F19ADA-789A-4A7D-A922-944CBE16F608}"/>
    <hyperlink ref="C94" r:id="rId25" display="www.va.gov/health-care/health-needs-conditions/mental-health" xr:uid="{97725869-B1F1-49E1-BA94-0C0A5F5E0D2A}"/>
    <hyperlink ref="C77" r:id="rId26" display="www.caregiver.va.gov" xr:uid="{9E5260F3-B7F0-4FE5-BF5C-54481A07B4B1}"/>
    <hyperlink ref="C46" r:id="rId27" xr:uid="{1092F13C-269E-4577-A906-EE9431AC9D82}"/>
    <hyperlink ref="C80" r:id="rId28" xr:uid="{2B5736DD-FA84-4142-B153-8584DDBA4E9E}"/>
    <hyperlink ref="C88" r:id="rId29" xr:uid="{9C1B2787-5E07-49C5-853F-CA19AB019527}"/>
    <hyperlink ref="C65" r:id="rId30" display="www.uscis.gov/military" xr:uid="{C8E9BC24-975E-4AA3-8E32-FCBF3C3A0E55}"/>
    <hyperlink ref="C118" r:id="rId31" xr:uid="{FF39FA91-5081-4B18-A170-51CA705A433D}"/>
    <hyperlink ref="C9" r:id="rId32" xr:uid="{3CE11972-3BD6-438A-BD5C-2E2A487F3049}"/>
    <hyperlink ref="C26" r:id="rId33" display="www.socialwork.va.gov/ipv" xr:uid="{55084649-28A6-4A60-B6CA-40E8AB3D6E13}"/>
    <hyperlink ref="C30" r:id="rId34" display="www.mentalhealth.va.gov/mentalhealth/women-vets" xr:uid="{A54152E4-4E27-4DEE-9103-619DD1A74ADE}"/>
    <hyperlink ref="C104" r:id="rId35" xr:uid="{91D9807E-3A44-4EB8-910D-72002E533D26}"/>
    <hyperlink ref="C97" r:id="rId36" display="www.va.gov/health-care/about-va-health-benefits/your-care-team" xr:uid="{E4009CD6-1063-4017-A451-B8EC18FD7FD3}"/>
    <hyperlink ref="C57" r:id="rId37" display="www.fns.usda.gov/snap/state-directory" xr:uid="{B2B75D37-930A-45CC-BB91-1A3BFAD4C19A}"/>
    <hyperlink ref="C85" r:id="rId38" xr:uid="{AA605B37-C342-4134-BD13-37140498D7FB}"/>
    <hyperlink ref="C79" r:id="rId39" display="www.va.gov/communitycare" xr:uid="{41A82F8F-B247-458F-B4E6-0BDB3C64C599}"/>
    <hyperlink ref="C87" r:id="rId40" display="www.va.gov/health-care" xr:uid="{B9194189-947D-467B-A27D-07917AC3A42A}"/>
    <hyperlink ref="C131" r:id="rId41" display="www.va.gov/wholehealth" xr:uid="{53EF5714-6227-4548-A4EB-2E26333CBEEB}"/>
    <hyperlink ref="C32" r:id="rId42" display="www.militaryonesource.com" xr:uid="{D6ADD11D-8F82-4428-AE9D-15B8858D029D}"/>
    <hyperlink ref="C91" r:id="rId43" display="www.va.gov/homeless" xr:uid="{015981D5-7978-4139-B2CF-D1D85FA7D854}"/>
    <hyperlink ref="C128" r:id="rId44" display="www.nutrition.va.gov/Food_Insecurity.asp" xr:uid="{EDE10B4E-3D7A-451A-9CCB-5E878866044F}"/>
    <hyperlink ref="C106" r:id="rId45" display="www.va.gov/housing-assistance/home-loans" xr:uid="{C56FCB3D-A9FB-475B-9AE9-0BE345C3B6EA}"/>
    <hyperlink ref="C89" r:id="rId46" display="www.va.gov/housing-assistance/home-loans/trouble-making-payments" xr:uid="{0F72BFE9-1420-4FD6-B916-DE11C9B79F47}"/>
    <hyperlink ref="C10" r:id="rId47" display="www.consumerfinance.gov" xr:uid="{C613FEC4-0A08-44D4-93FE-265639D2DB4C}"/>
    <hyperlink ref="C13" r:id="rId48" display="www.va.gov/housing-assistance/disability-housing-grants" xr:uid="{36F9E40F-A3C3-4E09-9E15-0B2DDA04E11D}"/>
    <hyperlink ref="C4" r:id="rId49" display="www.va.gov/housing-assistance/home-loans/home-buying-process" xr:uid="{ACB943F3-577E-4A3D-B08E-315CB34E1405}"/>
    <hyperlink ref="C50" r:id="rId50" xr:uid="{1F096B06-67CF-406E-8DAB-9C235D49018B}"/>
    <hyperlink ref="C34" r:id="rId51" xr:uid="{9B7C5165-FBB8-48BB-A2CC-C01F3C67AA13}"/>
    <hyperlink ref="C98" r:id="rId52" xr:uid="{5CCC0BDA-2CD2-43CD-9DC1-6EC69711B8AE}"/>
    <hyperlink ref="C109" r:id="rId53" xr:uid="{904816EC-19E8-4C97-A293-B9B4C1691D2D}"/>
    <hyperlink ref="C92" r:id="rId54" xr:uid="{ACB5879D-E917-4D20-9553-DD7CB5499E04}"/>
    <hyperlink ref="C140" r:id="rId55" display="www.vacareers.va.gov" xr:uid="{41102BF2-F40D-4EA4-AC8D-11987D17D0EB}"/>
    <hyperlink ref="C141" r:id="rId56" display="www.vacareers.va.gov/careers/technicalfield" xr:uid="{431B3C66-67C1-464E-8F7D-D2DBB4CE652F}"/>
    <hyperlink ref="C108" r:id="rId57" display="www.vaforvets.va.gov" xr:uid="{FFDC49AD-B070-4461-963F-7AEE8692F61F}"/>
    <hyperlink ref="C76" r:id="rId58" xr:uid="{8F719B40-132F-4D9A-9D78-0D142EFB8F8C}"/>
    <hyperlink ref="C43" r:id="rId59" xr:uid="{D4E3EAE9-4EE2-4C45-A7C8-8981F2B1C693}"/>
    <hyperlink ref="C67" r:id="rId60" display="www.opm.gov" xr:uid="{3AA5EAEF-0ADB-48F9-95FB-9C7570F310CB}"/>
    <hyperlink ref="C133" r:id="rId61" display="www.va.gov/OSDBU/WVOSBI.asp" xr:uid="{5D314A1B-1CDD-4885-850F-48273D0AAF75}"/>
    <hyperlink ref="C42" r:id="rId62" xr:uid="{5BB5F976-7530-465F-A442-25F4F86D0048}"/>
    <hyperlink ref="C2" r:id="rId63" display="www.va.gov/careers-employment/vocational-rehabilitation/apply-vre-form-28-1900/start" xr:uid="{A2142B5B-87CE-478A-8635-B4D84840C7B8}"/>
    <hyperlink ref="C102" r:id="rId64" display="www.va.gov/careers-employment/vocational-rehabilitation" xr:uid="{CA3A5333-7A57-42E2-910A-5A39D41106D4}"/>
    <hyperlink ref="C142" r:id="rId65" xr:uid="{E803B516-D32A-4E3C-9B69-E2F599A0380C}"/>
    <hyperlink ref="C126" r:id="rId66" xr:uid="{5AB6C89C-DF7A-459E-90B3-3BE8CA340773}"/>
    <hyperlink ref="C95" r:id="rId67" xr:uid="{772C59D5-DD3F-47CD-9C1A-8DC675541714}"/>
    <hyperlink ref="C105" r:id="rId68" xr:uid="{0832BAF0-5E7B-43FB-B82E-F244E6E051C8}"/>
    <hyperlink ref="C122" r:id="rId69" display="www.mentalhealth.va.gov/student-veteran/vital-program.asp" xr:uid="{B68A4954-69F5-43C0-BD6B-FDFBE91AE870}"/>
    <hyperlink ref="C19" r:id="rId70" display="www.va.gov/gi-bill-comparison-tool" xr:uid="{35D6741E-33AA-4DD8-A8EA-D8644DD90ADA}"/>
    <hyperlink ref="C101" r:id="rId71" xr:uid="{AA901A64-7537-4C85-A4D6-20532BC16134}"/>
    <hyperlink ref="C112" r:id="rId72" display="www.benefits.va.gov/gibill/regional_processing.asp" xr:uid="{E00F4292-D958-41BB-B482-3F2A1257A1E0}"/>
    <hyperlink ref="C86" r:id="rId73" display="www.va.gov/education/survivor-dependent-benefits/fry-scholarship" xr:uid="{CBFCFE52-0721-4D89-BFD3-BAD595FB55E7}"/>
    <hyperlink ref="C60" r:id="rId74" display="www.va.gov/education/survivor-dependent-benefits/dependents-education-assistance" xr:uid="{014705E3-64E1-4ACA-9898-17FE0091487B}"/>
    <hyperlink ref="C36" r:id="rId75" display="www.va.gov/education/about-gi-bill-benefits/montgomery-selected-reserve" xr:uid="{05DE5BA0-B7A5-4795-9C4F-BAB83339487B}"/>
    <hyperlink ref="C135" r:id="rId76" display="www.va.gov/education/about-gi-bill-benefits/post-9-11/yellow-ribbon-program" xr:uid="{A1D0D92E-8438-496D-8ED4-211BEF92AAEE}"/>
    <hyperlink ref="C83" r:id="rId77" display="www.va.gov/education/other-va-education-benefits/stem-scholarship" xr:uid="{4AD27F81-3272-479D-918A-C9F18CB74F74}"/>
    <hyperlink ref="C18" r:id="rId78" display="www.va.gov/education/yellow-ribbon-participating-schools" xr:uid="{FC7FB260-4B31-40E6-B590-D7C79A0E8D40}"/>
    <hyperlink ref="C100" r:id="rId79" display="www.va.gov/education/transfer-post-9-11-gi-bill-benefits" xr:uid="{B497A3D6-C7C7-4861-8071-F129D64EF49B}"/>
    <hyperlink ref="C84" r:id="rId80" xr:uid="{D1988DE2-28CA-4601-8B4D-16EBCD07C897}"/>
    <hyperlink ref="C116" r:id="rId81" display="www.benefits.va.gov/benefits/banking.asp" xr:uid="{445A0A18-3B3E-4746-951F-855C32548835}"/>
    <hyperlink ref="C81" r:id="rId82" display="www.va.gov/change-direct-deposit" xr:uid="{8A1C501A-B133-436E-BA84-12B4E1BB07A1}"/>
    <hyperlink ref="C99" r:id="rId83" xr:uid="{3961A9D3-612B-4CC2-9B37-A13DBB64E9C8}"/>
    <hyperlink ref="C59" r:id="rId84" display="www.va.gov/disability/dependency-indemnity-compensation" xr:uid="{55462585-3D19-462D-9BF4-4597876848B9}"/>
    <hyperlink ref="C73" r:id="rId85" display="www.va.gov/family-member-benefits" xr:uid="{963BF23A-E442-4803-9CEB-413FABCC1A3D}"/>
    <hyperlink ref="C45" r:id="rId86" display="www.va.gov/burials-memorials/pre-need-eligibility" xr:uid="{BF95EFDB-9DF5-4A13-92BA-4F946E1356F7}"/>
    <hyperlink ref="C74" r:id="rId87" display="www.va.gov/burials-memorials" xr:uid="{D4DD39E2-4424-46F8-AB5D-CA177FD28935}"/>
    <hyperlink ref="C21" r:id="rId88" xr:uid="{50D12E92-B344-4D35-BA9A-8C7A8A092C0F}"/>
    <hyperlink ref="C125" r:id="rId89" display="www.cem.va.gov/legacy" xr:uid="{DD20B6D4-F965-405C-ADCE-3A891B53AFA0}"/>
    <hyperlink ref="C124" r:id="rId90" xr:uid="{F16ACF24-BABA-49E3-A0F4-6896C47B833A}"/>
    <hyperlink ref="C55" r:id="rId91" display="www.va.gov/life-insurance/options-eligibility/s-dvi" xr:uid="{9384802E-B140-4857-9248-8886767CF56D}"/>
    <hyperlink ref="C63" r:id="rId92" display="www.va.gov/life-insurance/options-eligibility/tsgli" xr:uid="{B509475D-A08D-4DF5-80F7-5562A39563CF}"/>
    <hyperlink ref="C127" r:id="rId93" display="www.va.gov/life-insurance/options-eligibility/vgli" xr:uid="{87A9E76C-7577-4F3C-A0AE-07B76B420B43}"/>
    <hyperlink ref="C113" r:id="rId94" display="www.benefits.va.gov/insurance" xr:uid="{6648F232-CAB4-4128-821B-D1BE5ECB5FE2}"/>
    <hyperlink ref="C16" r:id="rId95" display="www.va.gov/life-insurance/options-eligibility/fsgli" xr:uid="{9301723A-B449-48D1-8323-93EDFE870DCF}"/>
    <hyperlink ref="C56" r:id="rId96" xr:uid="{AAC36F3D-4885-4AF5-899F-54B417788BFE}"/>
    <hyperlink ref="C93" r:id="rId97" display="www.va.gov/life-insurance" xr:uid="{64AF8401-CF1F-415F-A9FD-C91ADE0EDF94}"/>
    <hyperlink ref="C12" r:id="rId98" xr:uid="{2E20B32F-F4DC-43FB-838B-ED5C6D0229D8}"/>
    <hyperlink ref="C69" r:id="rId99" display="www.uscg.mil/psc/psd/fs/tsgli.asp" xr:uid="{77317819-342F-41F2-879E-CCF763FE8339}"/>
    <hyperlink ref="C138" r:id="rId100" display="www.hrc.army.mil/site/protect/active/epord/coad.htm" xr:uid="{4F9BDE47-D0C0-46FC-AD6E-CB64D9409A6C}"/>
    <hyperlink ref="C139" r:id="rId101" xr:uid="{DB6897B3-8877-4393-B81C-E2D54DED3518}"/>
    <hyperlink ref="C110" r:id="rId102" display="www.benefits.va.gov/tap" xr:uid="{21DCD6AB-AF5C-4CA2-8493-C902D2158083}"/>
    <hyperlink ref="C64" r:id="rId103" display="www.tricare.mil" xr:uid="{C7B68A21-2881-4D63-9A35-5D5E5800DA37}"/>
    <hyperlink ref="C17" r:id="rId104" xr:uid="{EBD84A65-785F-400E-A559-C73661843EE6}"/>
    <hyperlink ref="C111" r:id="rId105" xr:uid="{1E058C1D-3DD5-49A0-B244-24E52FB7E9C8}"/>
    <hyperlink ref="C82" r:id="rId106" display="www.va.gov/disability" xr:uid="{2613D3C9-E3AF-4BB9-BD81-8F06F0224944}"/>
    <hyperlink ref="C23" r:id="rId107" display="www.va.gov/health-care/how-to-apply" xr:uid="{8D338D35-4687-46A8-942A-96CF77B1EAD2}"/>
    <hyperlink ref="C22" r:id="rId108" xr:uid="{F6E2FEF4-6230-43F5-A119-343ACEED9134}"/>
    <hyperlink ref="C11" r:id="rId109" display="www.archives.gov/veterans/military-service-records/correct-service-records.html" xr:uid="{47F4EFB0-28A2-4E6F-A7F5-A791DD5D72F2}"/>
    <hyperlink ref="C103" r:id="rId110" display="www.va.gov/welcome-kit" xr:uid="{A123E7FB-D527-4C53-91CA-1B37D14503BB}"/>
    <hyperlink ref="C72" r:id="rId111" display="www.va.gov/service-member-benefits" xr:uid="{5107BE52-9E8C-4E15-8AC2-E648AA4CC035}"/>
    <hyperlink ref="C96" r:id="rId112" display="www.va.gov/pension" xr:uid="{227BF11A-387D-46D2-9FF3-BC9D82457BDF}"/>
    <hyperlink ref="C8" r:id="rId113" xr:uid="{E49EA313-E9D7-4FD6-B1CF-E12BF6E5FB22}"/>
    <hyperlink ref="C27" r:id="rId114" xr:uid="{E6FA6FB1-6C50-41F1-8157-39FD201621CB}"/>
    <hyperlink ref="C68" r:id="rId115" display="www.sba.gov/federal-contracting" xr:uid="{3E928DF6-05CC-4C4D-AFEA-E8751C172D2F}"/>
    <hyperlink ref="C51" r:id="rId116" display="www.rd.usda.gov" xr:uid="{5B005986-25B0-4854-8237-658CF6A5250C}"/>
    <hyperlink ref="C53" r:id="rId117" display="www.sba.gov/local" xr:uid="{78C42103-E8B8-41A5-AD59-1D0309366D04}"/>
    <hyperlink ref="C52" r:id="rId118" display="www.sba.gov/sba-learning-platform" xr:uid="{4551B0D8-2952-4152-B761-DD4448D7D50B}"/>
    <hyperlink ref="C54" r:id="rId119" display="www.sba.gov/ovbd" xr:uid="{1D8F0F0F-1F5B-4807-A18F-3AB1EB844480}"/>
    <hyperlink ref="C75" r:id="rId120" display="www.vets.gov/employment/job-seekers/register-your-business" xr:uid="{D8C6781F-CC8C-4E92-A91B-F710C4C21175}"/>
    <hyperlink ref="C134" r:id="rId121" xr:uid="{09E3A0DE-9958-474C-B57E-B29FF8EF335B}"/>
    <hyperlink ref="C132" r:id="rId122" xr:uid="{8C5D8A04-3598-493A-A574-1BC53564614A}"/>
    <hyperlink ref="C129" r:id="rId123" xr:uid="{FD039F0A-5B38-49D4-AD82-4CC2CDDA97A4}"/>
    <hyperlink ref="C70" r:id="rId124" xr:uid="{FB0CCD9E-165B-4C4F-B530-CB9E8408BF6D}"/>
    <hyperlink ref="C136" r:id="rId125" xr:uid="{210DE94C-ABBE-47A8-8A30-44EB06C70540}"/>
    <hyperlink ref="C115" r:id="rId126" xr:uid="{AB1B52FC-709E-413D-B9ED-FAE7B1D3E954}"/>
    <hyperlink ref="C25" r:id="rId127" xr:uid="{6977B4FC-44DB-4D8C-9B12-1C0894E2644E}"/>
    <hyperlink ref="C137" r:id="rId128" xr:uid="{6D8BBE59-00C2-4EEA-BEFF-6D0D6C36EF70}"/>
    <hyperlink ref="C28" r:id="rId129" xr:uid="{103903C6-59AF-4AC0-9B4F-C5DC9F5C72D0}"/>
    <hyperlink ref="C40" r:id="rId130" xr:uid="{846EB3CE-5994-4315-AA34-CDC0ACF2FFA1}"/>
    <hyperlink ref="C15" r:id="rId131" xr:uid="{959C859A-8DB3-4EE5-A4F0-A44265A6A9A6}"/>
    <hyperlink ref="C58" r:id="rId132" xr:uid="{2594D805-5CA8-4BA3-B205-E87C6D02DB43}"/>
    <hyperlink ref="C14" r:id="rId133" xr:uid="{42A1BC3E-37C1-4C0B-AB58-DA25BFCC545E}"/>
    <hyperlink ref="C117" r:id="rId134" xr:uid="{F3B36649-73C3-4DCB-BD21-DC903E7F00A7}"/>
    <hyperlink ref="C62" r:id="rId135" xr:uid="{2A78D4CA-7820-400B-9602-B1BDAE7E4850}"/>
    <hyperlink ref="C130" r:id="rId136" xr:uid="{0A1CB8C4-C036-4AA4-ACE5-AAC7C5490186}"/>
    <hyperlink ref="C5" r:id="rId137" xr:uid="{E8C18A1A-7D24-4A5B-A5E9-F5C5D7340BBF}"/>
    <hyperlink ref="C35" r:id="rId138" xr:uid="{CB81B6F8-5B72-4F07-8BEF-272A7BE13083}"/>
  </hyperlinks>
  <pageMargins left="0.7" right="0.7" top="0.75" bottom="0.75" header="0.3" footer="0.3"/>
  <pageSetup orientation="portrait" horizontalDpi="0" verticalDpi="0" r:id="rId139"/>
  <tableParts count="1">
    <tablePart r:id="rId14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Transition Assitsance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 Antonacci</dc:creator>
  <cp:lastModifiedBy>Roman Antonacci</cp:lastModifiedBy>
  <dcterms:created xsi:type="dcterms:W3CDTF">2021-08-23T17:05:29Z</dcterms:created>
  <dcterms:modified xsi:type="dcterms:W3CDTF">2024-01-02T21:48:53Z</dcterms:modified>
</cp:coreProperties>
</file>